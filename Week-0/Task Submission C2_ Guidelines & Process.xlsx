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eek-5 (AWS P2)" sheetId="1" r:id="rId4"/>
    <sheet state="visible" name="Task Detail - Cohort2" sheetId="2" r:id="rId5"/>
    <sheet state="hidden" name="Assignment-2" sheetId="3" r:id="rId6"/>
    <sheet state="hidden" name="Assignment-3" sheetId="4" r:id="rId7"/>
    <sheet state="hidden" name="Assignment-4" sheetId="5" r:id="rId8"/>
  </sheets>
  <definedNames/>
  <calcPr/>
</workbook>
</file>

<file path=xl/sharedStrings.xml><?xml version="1.0" encoding="utf-8"?>
<sst xmlns="http://schemas.openxmlformats.org/spreadsheetml/2006/main" count="173" uniqueCount="114">
  <si>
    <r>
      <rPr>
        <rFont val="Arial"/>
        <b/>
        <color rgb="FFFFFFFF"/>
        <sz val="18.0"/>
      </rPr>
      <t xml:space="preserve">Week 5 (AWS Cloud): Assignments Submission Guidelines, </t>
    </r>
    <r>
      <rPr>
        <rFont val="Arial"/>
        <b/>
        <color rgb="FFF1C232"/>
        <sz val="18.0"/>
      </rPr>
      <t>Part - 2</t>
    </r>
  </si>
  <si>
    <r>
      <rPr>
        <rFont val="Arial"/>
        <b/>
        <color rgb="FFFFFFFF"/>
        <sz val="12.0"/>
      </rPr>
      <t xml:space="preserve">Deadline: </t>
    </r>
    <r>
      <rPr>
        <rFont val="Arial"/>
        <b/>
        <color rgb="FFFFE599"/>
        <sz val="12.0"/>
      </rPr>
      <t>Friday, 19 September, 2025</t>
    </r>
    <r>
      <rPr>
        <rFont val="Arial"/>
        <b/>
        <color rgb="FFFFFFFF"/>
        <sz val="12.0"/>
      </rPr>
      <t xml:space="preserve"> (Submission form link is given below) - DevOps Micro Internship (DMI) Cohort</t>
    </r>
  </si>
  <si>
    <t>Week-5 contains 4 assignments (Section-5, AWS Cloud)</t>
  </si>
  <si>
    <t>Marking Scheme</t>
  </si>
  <si>
    <t>Total Marks</t>
  </si>
  <si>
    <t>Blog</t>
  </si>
  <si>
    <t>Correct task execution</t>
  </si>
  <si>
    <t>Correct Screenshots/Demo Video</t>
  </si>
  <si>
    <t>Post on Linkedin (must add PS)**</t>
  </si>
  <si>
    <t>Assignment-16</t>
  </si>
  <si>
    <t>Deploy Mini Finance Website on AWS Virtual Machine</t>
  </si>
  <si>
    <t>Assignment-17</t>
  </si>
  <si>
    <t>Deploy EpicBook Web App on Ubuntu VM with MySQL RDS and Secure Cloud Network</t>
  </si>
  <si>
    <t>Assignment-18</t>
  </si>
  <si>
    <t>Deploy and Make a Two-Tier Application Highly Available on AWS</t>
  </si>
  <si>
    <t>Assignment-19</t>
  </si>
  <si>
    <t>Deploy Book Review App (Three-Tier Architecture) on AWS (with Best Practices)</t>
  </si>
  <si>
    <t>Click on the below tabs to switch to different week's sheet.</t>
  </si>
  <si>
    <t>MUST FOLLOW REQUIREMENTS</t>
  </si>
  <si>
    <t>Blogs</t>
  </si>
  <si>
    <r>
      <rPr>
        <rFont val="Arial"/>
        <b/>
        <color theme="1"/>
        <sz val="13.0"/>
      </rPr>
      <t xml:space="preserve">☑️Linkedin Post Requirements - </t>
    </r>
    <r>
      <rPr>
        <rFont val="Arial"/>
        <b/>
        <color rgb="FFA64D79"/>
        <sz val="13.0"/>
      </rPr>
      <t>Pravin should be tagged</t>
    </r>
  </si>
  <si>
    <r>
      <rPr>
        <rFont val="Arial"/>
        <color theme="1"/>
      </rPr>
      <t xml:space="preserve">Blogs help you build clarity, reinforce learning, and showcase your work. We have made writing one blog mandaotory, but we recommend writing </t>
    </r>
    <r>
      <rPr>
        <rFont val="Arial"/>
        <b/>
        <color theme="1"/>
      </rPr>
      <t>as many blogs as possible in this cohort</t>
    </r>
    <r>
      <rPr>
        <rFont val="Arial"/>
        <color theme="1"/>
      </rPr>
      <t xml:space="preserve">.
Pick </t>
    </r>
    <r>
      <rPr>
        <rFont val="Arial"/>
        <b/>
        <color theme="1"/>
      </rPr>
      <t>any Week-4 topic</t>
    </r>
    <r>
      <rPr>
        <rFont val="Arial"/>
        <color theme="1"/>
      </rPr>
      <t xml:space="preserve"> you’re comfortable with. Write an original post (</t>
    </r>
    <r>
      <rPr>
        <rFont val="Arial"/>
        <b/>
        <color theme="1"/>
      </rPr>
      <t>min. 500 words</t>
    </r>
    <r>
      <rPr>
        <rFont val="Arial"/>
        <color theme="1"/>
      </rPr>
      <t xml:space="preserve">) on LinkedIn, Medium, or your blog. Include screenshots, code snippets, and explanations.
</t>
    </r>
    <r>
      <rPr>
        <rFont val="Arial"/>
        <b/>
        <color theme="1"/>
      </rPr>
      <t>Submit the blog link</t>
    </r>
    <r>
      <rPr>
        <rFont val="Arial"/>
        <color theme="1"/>
      </rPr>
      <t xml:space="preserve"> in the Google Form for the assignment to </t>
    </r>
    <r>
      <rPr>
        <rFont val="Arial"/>
        <b/>
        <color theme="1"/>
      </rPr>
      <t>earn 50 marks</t>
    </r>
    <r>
      <rPr>
        <rFont val="Arial"/>
        <color theme="1"/>
      </rPr>
      <t>.</t>
    </r>
  </si>
  <si>
    <r>
      <rPr>
        <rFont val="Arial"/>
        <b/>
        <sz val="13.0"/>
      </rPr>
      <t>P.S.</t>
    </r>
    <r>
      <rPr>
        <rFont val="Arial"/>
        <sz val="13.0"/>
      </rPr>
      <t xml:space="preserve"> This post is part of the </t>
    </r>
    <r>
      <rPr>
        <rFont val="Arial"/>
        <b/>
        <sz val="13.0"/>
      </rPr>
      <t>FREE DevOps Micro Internship (DMI) Cohort</t>
    </r>
    <r>
      <rPr>
        <rFont val="Arial"/>
        <sz val="13.0"/>
      </rPr>
      <t xml:space="preserve"> run by </t>
    </r>
    <r>
      <rPr>
        <rFont val="Arial"/>
        <b/>
        <color rgb="FF1155CC"/>
        <sz val="13.0"/>
        <u/>
      </rPr>
      <t>Pravin Mishra</t>
    </r>
    <r>
      <rPr>
        <rFont val="Arial"/>
        <sz val="13.0"/>
      </rPr>
      <t xml:space="preserve">. You can start your DevOps journey for free from his </t>
    </r>
    <r>
      <rPr>
        <rFont val="Arial"/>
        <color rgb="FF1155CC"/>
        <sz val="13.0"/>
        <u/>
      </rPr>
      <t>YouTube Playlist</t>
    </r>
    <r>
      <rPr>
        <rFont val="Arial"/>
        <sz val="13.0"/>
      </rPr>
      <t>.</t>
    </r>
  </si>
  <si>
    <t>General Rules</t>
  </si>
  <si>
    <t>Common Mistakes to Avoid:</t>
  </si>
  <si>
    <r>
      <rPr>
        <rFont val="Arial"/>
        <color theme="1"/>
      </rPr>
      <t xml:space="preserve">Create a </t>
    </r>
    <r>
      <rPr>
        <rFont val="Arial"/>
        <b/>
        <color rgb="FF674EA7"/>
      </rPr>
      <t>single Google Doc</t>
    </r>
    <r>
      <rPr>
        <rFont val="Arial"/>
        <b/>
        <color theme="1"/>
      </rPr>
      <t xml:space="preserve"> for all four assignments.</t>
    </r>
  </si>
  <si>
    <t>Copy-pasting content without credit.</t>
  </si>
  <si>
    <t>Add all the assignment solutions as asked in the assignment.</t>
  </si>
  <si>
    <t>Blog not publicly accessible.</t>
  </si>
  <si>
    <r>
      <rPr>
        <rFont val="Arial"/>
        <color theme="1"/>
      </rPr>
      <t xml:space="preserve">The google doc must be named: </t>
    </r>
    <r>
      <rPr>
        <rFont val="Arial"/>
        <b/>
        <color rgb="FF674EA7"/>
      </rPr>
      <t>FullName_YourEmail_Group</t>
    </r>
  </si>
  <si>
    <t>Document is not accessible via the shared link.</t>
  </si>
  <si>
    <r>
      <rPr>
        <rFont val="Arial"/>
        <color theme="1"/>
      </rPr>
      <t xml:space="preserve">Get the </t>
    </r>
    <r>
      <rPr>
        <rFont val="Arial"/>
        <b/>
        <color rgb="FF674EA7"/>
      </rPr>
      <t>COMMENT LINK to the Document</t>
    </r>
    <r>
      <rPr>
        <rFont val="Arial"/>
        <color theme="1"/>
      </rPr>
      <t xml:space="preserve">:
   - Click on </t>
    </r>
    <r>
      <rPr>
        <rFont val="Arial"/>
        <b/>
        <color theme="1"/>
      </rPr>
      <t>Share (top-right corner)</t>
    </r>
    <r>
      <rPr>
        <rFont val="Arial"/>
        <color theme="1"/>
      </rPr>
      <t>.
   - Under General access, change from “</t>
    </r>
    <r>
      <rPr>
        <rFont val="Arial"/>
        <b/>
        <color theme="1"/>
      </rPr>
      <t>Restricted</t>
    </r>
    <r>
      <rPr>
        <rFont val="Arial"/>
        <color theme="1"/>
      </rPr>
      <t>” to '</t>
    </r>
    <r>
      <rPr>
        <rFont val="Arial"/>
        <b/>
        <color theme="1"/>
      </rPr>
      <t>Anyone with the link</t>
    </r>
    <r>
      <rPr>
        <rFont val="Arial"/>
        <color theme="1"/>
      </rPr>
      <t xml:space="preserve">'.
   - Set access to </t>
    </r>
    <r>
      <rPr>
        <rFont val="Arial"/>
        <b/>
        <color theme="1"/>
      </rPr>
      <t>Commentor</t>
    </r>
    <r>
      <rPr>
        <rFont val="Arial"/>
        <color theme="1"/>
      </rPr>
      <t>.
   - Click Copy Link and paste it in the Google form below.</t>
    </r>
  </si>
  <si>
    <t>Missing the required technical depth.</t>
  </si>
  <si>
    <t>GOOGLE FORM for Week-5 (AWS Cloud Part-2) Assignment Submission</t>
  </si>
  <si>
    <t>Submit before the deadline — late submissions will not be evaluated.</t>
  </si>
  <si>
    <t>Task Submission Guidelines – DevOps Micro Internship (DMI) Cohort- 2</t>
  </si>
  <si>
    <r>
      <rPr>
        <b/>
        <sz val="15.0"/>
      </rPr>
      <t xml:space="preserve">CLICK TO </t>
    </r>
    <r>
      <rPr>
        <b/>
        <color rgb="FF1155CC"/>
        <sz val="15.0"/>
        <u/>
      </rPr>
      <t>WATCH THE VIDEO - BASICS OF INTERNET &amp; AI</t>
    </r>
  </si>
  <si>
    <r>
      <rPr>
        <b/>
        <color rgb="FF000000"/>
        <sz val="12.0"/>
      </rPr>
      <t xml:space="preserve">This </t>
    </r>
    <r>
      <rPr>
        <b/>
        <color rgb="FF1155CC"/>
        <sz val="12.0"/>
        <u/>
      </rPr>
      <t>contains 6 Tasks (Link)</t>
    </r>
  </si>
  <si>
    <t>Task-1: (Click to check)</t>
  </si>
  <si>
    <t>Using ChatGPT as Your Learning Assistant</t>
  </si>
  <si>
    <t>Task-2: (Click to check)</t>
  </si>
  <si>
    <t>Internet and Networking</t>
  </si>
  <si>
    <t>Task-3: (Click to check)</t>
  </si>
  <si>
    <t>Application Architecture &amp; Stack</t>
  </si>
  <si>
    <t>Task-4: (Click to check)</t>
  </si>
  <si>
    <t>Domain Name &amp; DNS (Basic Concepts)</t>
  </si>
  <si>
    <t>Task-5: (Click to check)</t>
  </si>
  <si>
    <t>Visual Studio Code Setup (Hands-on)</t>
  </si>
  <si>
    <t>Task-6: (Click to check)</t>
  </si>
  <si>
    <t>Publish Your Assignment as a LinkedIn Post</t>
  </si>
  <si>
    <t>HOW TO SUBMIT?</t>
  </si>
  <si>
    <t>GOOGLE FORM LINK - ASSIGNMENT SUBMISSION LINK</t>
  </si>
  <si>
    <t>Linkedin Post- Must Have</t>
  </si>
  <si>
    <r>
      <rPr>
        <b/>
        <sz val="13.0"/>
      </rPr>
      <t xml:space="preserve">P.S. This post is part of the FREE DevOps Micro Internship (DMI) Cohort 2 run by </t>
    </r>
    <r>
      <rPr>
        <b/>
        <color rgb="FF1155CC"/>
        <sz val="13.0"/>
        <u/>
      </rPr>
      <t>Pravin Mishra</t>
    </r>
    <r>
      <rPr>
        <b/>
        <sz val="13.0"/>
      </rPr>
      <t xml:space="preserve">. You can be part of this learning community too. 
</t>
    </r>
    <r>
      <rPr>
        <b/>
        <color rgb="FF1155CC"/>
        <sz val="13.0"/>
        <u/>
      </rPr>
      <t>JOIN HERE</t>
    </r>
    <r>
      <rPr>
        <b/>
        <sz val="13.0"/>
      </rPr>
      <t xml:space="preserve"> DMI Cohort 2: </t>
    </r>
    <r>
      <rPr>
        <b/>
        <color rgb="FF1155CC"/>
        <sz val="13.0"/>
        <u/>
      </rPr>
      <t>https://forms.gle/PSGTcWDSvpUJXYGN6</t>
    </r>
    <r>
      <rPr>
        <b/>
        <sz val="13.0"/>
      </rPr>
      <t xml:space="preserve">
Pravin Mishra Profile: https://www.linkedin.com/in/pravin-mishra-aws-trainer/
</t>
    </r>
  </si>
  <si>
    <t>HOW TO SUBMIT THE ASSIGNMENTS?</t>
  </si>
  <si>
    <r>
      <rPr>
        <rFont val="Arial"/>
        <color theme="1"/>
      </rPr>
      <t xml:space="preserve">Create a </t>
    </r>
    <r>
      <rPr>
        <rFont val="Arial"/>
        <b/>
        <color theme="1"/>
      </rPr>
      <t>single Google Doc for all five assignments.</t>
    </r>
  </si>
  <si>
    <r>
      <rPr>
        <rFont val="Arial"/>
        <color theme="1"/>
      </rPr>
      <t xml:space="preserve">The google doc must be named: </t>
    </r>
    <r>
      <rPr>
        <rFont val="Arial"/>
        <b/>
        <color theme="1"/>
      </rPr>
      <t>FullName_YourEmail_Group</t>
    </r>
  </si>
  <si>
    <r>
      <rPr>
        <rFont val="Arial"/>
        <color theme="1"/>
      </rPr>
      <t xml:space="preserve">Get the </t>
    </r>
    <r>
      <rPr>
        <rFont val="Arial"/>
        <b/>
        <color theme="1"/>
      </rPr>
      <t>COMMENT LINK to the Document</t>
    </r>
    <r>
      <rPr>
        <rFont val="Arial"/>
        <color theme="1"/>
      </rPr>
      <t xml:space="preserve">:
   - Click on </t>
    </r>
    <r>
      <rPr>
        <rFont val="Arial"/>
        <b/>
        <color theme="1"/>
      </rPr>
      <t>Share (top-right corner)</t>
    </r>
    <r>
      <rPr>
        <rFont val="Arial"/>
        <color theme="1"/>
      </rPr>
      <t>.
   - Under General access, change from “</t>
    </r>
    <r>
      <rPr>
        <rFont val="Arial"/>
        <b/>
        <color theme="1"/>
      </rPr>
      <t>Restricted</t>
    </r>
    <r>
      <rPr>
        <rFont val="Arial"/>
        <color theme="1"/>
      </rPr>
      <t>” to '</t>
    </r>
    <r>
      <rPr>
        <rFont val="Arial"/>
        <b/>
        <color theme="1"/>
      </rPr>
      <t>Anyone with the link</t>
    </r>
    <r>
      <rPr>
        <rFont val="Arial"/>
        <color theme="1"/>
      </rPr>
      <t xml:space="preserve">'.
   - Set access to </t>
    </r>
    <r>
      <rPr>
        <rFont val="Arial"/>
        <b/>
        <color theme="1"/>
      </rPr>
      <t>Commentor</t>
    </r>
    <r>
      <rPr>
        <rFont val="Arial"/>
        <color theme="1"/>
      </rPr>
      <t>.
   - Click Copy Link and paste it in the Google form below.</t>
    </r>
  </si>
  <si>
    <t>Assignment-2 Submission Guidelines – DevOps Micro Internship (DMI) Cohort- 2</t>
  </si>
  <si>
    <r>
      <rPr>
        <b/>
        <sz val="15.0"/>
      </rPr>
      <t xml:space="preserve">CLICK TO </t>
    </r>
    <r>
      <rPr>
        <b/>
        <color rgb="FF1155CC"/>
        <sz val="15.0"/>
        <u/>
      </rPr>
      <t>WATCH THE VIDEO - ASSIGNMENT 2</t>
    </r>
  </si>
  <si>
    <t>Week-1 contains 3 assignments</t>
  </si>
  <si>
    <t>Correct Screenshots</t>
  </si>
  <si>
    <t>Post on Linkedin with PS</t>
  </si>
  <si>
    <t>Assignment-2: (Link)</t>
  </si>
  <si>
    <t>AWS Free Tier Account Setup</t>
  </si>
  <si>
    <t>Assignment-3 (Link):</t>
  </si>
  <si>
    <t>Deploy a React App on Ubuntu VM Using Nginx</t>
  </si>
  <si>
    <t xml:space="preserve">Assignment-4 (Link): </t>
  </si>
  <si>
    <t>Linux Administration Practice</t>
  </si>
  <si>
    <t>Total</t>
  </si>
  <si>
    <t>Click on the below tabs to switch to different Assignment's sheet.</t>
  </si>
  <si>
    <r>
      <rPr>
        <b/>
        <sz val="13.0"/>
      </rPr>
      <t xml:space="preserve">P.S. This post is part of the FREE DevOps Micro Internship (DMI) Cohort run by </t>
    </r>
    <r>
      <rPr>
        <b/>
        <color rgb="FF1155CC"/>
        <sz val="13.0"/>
        <u/>
      </rPr>
      <t>Pravin Mishra</t>
    </r>
    <r>
      <rPr>
        <b/>
        <sz val="13.0"/>
      </rPr>
      <t xml:space="preserve">. You can start your DevOps journey for free from his </t>
    </r>
    <r>
      <rPr>
        <b/>
        <color rgb="FF1155CC"/>
        <sz val="13.0"/>
        <u/>
      </rPr>
      <t>YouTube Playlist</t>
    </r>
    <r>
      <rPr>
        <b/>
        <sz val="13.0"/>
      </rPr>
      <t>.</t>
    </r>
  </si>
  <si>
    <t>WHERE TO SUBMIT?</t>
  </si>
  <si>
    <r>
      <rPr>
        <rFont val="Arial"/>
        <color theme="1"/>
      </rPr>
      <t xml:space="preserve">Create a </t>
    </r>
    <r>
      <rPr>
        <rFont val="Arial"/>
        <b/>
        <color theme="1"/>
      </rPr>
      <t>single Google Doc for all five assignments.</t>
    </r>
  </si>
  <si>
    <t>Use the same Pre-registration google form</t>
  </si>
  <si>
    <t>Go to section-3 assignment submission</t>
  </si>
  <si>
    <r>
      <rPr>
        <rFont val="Arial"/>
        <color theme="1"/>
      </rPr>
      <t xml:space="preserve">The google doc must be named: </t>
    </r>
    <r>
      <rPr>
        <rFont val="Arial"/>
        <b/>
        <color theme="1"/>
      </rPr>
      <t>FullName_YourEmail_Group</t>
    </r>
  </si>
  <si>
    <t>Paste the link to this assignment under right question (image below)</t>
  </si>
  <si>
    <r>
      <rPr>
        <rFont val="Arial"/>
        <color theme="1"/>
      </rPr>
      <t xml:space="preserve">Get the </t>
    </r>
    <r>
      <rPr>
        <rFont val="Arial"/>
        <b/>
        <color theme="1"/>
      </rPr>
      <t>COMMENT LINK to the Document</t>
    </r>
    <r>
      <rPr>
        <rFont val="Arial"/>
        <color theme="1"/>
      </rPr>
      <t xml:space="preserve">:
   - Click on </t>
    </r>
    <r>
      <rPr>
        <rFont val="Arial"/>
        <b/>
        <color theme="1"/>
      </rPr>
      <t>Share (top-right corner)</t>
    </r>
    <r>
      <rPr>
        <rFont val="Arial"/>
        <color theme="1"/>
      </rPr>
      <t>.
   - Under General access, change from “</t>
    </r>
    <r>
      <rPr>
        <rFont val="Arial"/>
        <b/>
        <color theme="1"/>
      </rPr>
      <t>Restricted</t>
    </r>
    <r>
      <rPr>
        <rFont val="Arial"/>
        <color theme="1"/>
      </rPr>
      <t>” to '</t>
    </r>
    <r>
      <rPr>
        <rFont val="Arial"/>
        <b/>
        <color theme="1"/>
      </rPr>
      <t>Anyone with the link</t>
    </r>
    <r>
      <rPr>
        <rFont val="Arial"/>
        <color theme="1"/>
      </rPr>
      <t xml:space="preserve">'.
   - Set access to </t>
    </r>
    <r>
      <rPr>
        <rFont val="Arial"/>
        <b/>
        <color theme="1"/>
      </rPr>
      <t>Commentor</t>
    </r>
    <r>
      <rPr>
        <rFont val="Arial"/>
        <color theme="1"/>
      </rPr>
      <t>.
   - Click Copy Link and paste it in the Google form below.</t>
    </r>
  </si>
  <si>
    <t>Assignment-3 Submission Guidelines – DevOps Micro Internship (DMI) Cohort- 2</t>
  </si>
  <si>
    <r>
      <rPr>
        <b/>
        <sz val="15.0"/>
      </rPr>
      <t xml:space="preserve">CLICK TO </t>
    </r>
    <r>
      <rPr>
        <b/>
        <color rgb="FF1155CC"/>
        <sz val="15.0"/>
        <u/>
      </rPr>
      <t>WATCH THE VIDEO - ASSIGNMENT 3</t>
    </r>
  </si>
  <si>
    <t>Week-2 contains 5 assignments</t>
  </si>
  <si>
    <t>Post on Linkedin (must add PS)</t>
  </si>
  <si>
    <t>Assignment-5: (link)</t>
  </si>
  <si>
    <t>CodeTrack— Initial Git Setup (Local Only)</t>
  </si>
  <si>
    <t>Assignment-6: (link)</t>
  </si>
  <si>
    <t>Tracking and Staging Changes in a CodeTrack Project</t>
  </si>
  <si>
    <t>Assignment-7: (link)</t>
  </si>
  <si>
    <t xml:space="preserve">Branching Workflow — Add &amp; Verify a Contact Page
</t>
  </si>
  <si>
    <t>Assignment-8: (link)</t>
  </si>
  <si>
    <t>Setting Up GitHub for CodeTrack</t>
  </si>
  <si>
    <t xml:space="preserve">Assignment-9: (link) </t>
  </si>
  <si>
    <t>Collaborating on Mini-Finance with GitHub</t>
  </si>
  <si>
    <r>
      <rPr>
        <b/>
        <sz val="13.0"/>
      </rPr>
      <t xml:space="preserve">P.S. This post is part of the FREE DevOps Micro Internship (DMI) Cohort run by </t>
    </r>
    <r>
      <rPr>
        <b/>
        <color rgb="FF1155CC"/>
        <sz val="13.0"/>
        <u/>
      </rPr>
      <t>Pravin Mishra</t>
    </r>
    <r>
      <rPr>
        <b/>
        <sz val="13.0"/>
      </rPr>
      <t xml:space="preserve">. You can start your DevOps journey for free from his </t>
    </r>
    <r>
      <rPr>
        <b/>
        <color rgb="FF1155CC"/>
        <sz val="13.0"/>
        <u/>
      </rPr>
      <t>YouTube Playlist</t>
    </r>
    <r>
      <rPr>
        <b/>
        <sz val="13.0"/>
      </rPr>
      <t>.</t>
    </r>
  </si>
  <si>
    <r>
      <rPr>
        <rFont val="Arial"/>
        <color theme="1"/>
      </rPr>
      <t xml:space="preserve">Create a </t>
    </r>
    <r>
      <rPr>
        <rFont val="Arial"/>
        <b/>
        <color theme="1"/>
      </rPr>
      <t>single Google Doc for all five assignments.</t>
    </r>
  </si>
  <si>
    <r>
      <rPr>
        <rFont val="Arial"/>
        <color theme="1"/>
      </rPr>
      <t xml:space="preserve">The google doc must be named: </t>
    </r>
    <r>
      <rPr>
        <rFont val="Arial"/>
        <b/>
        <color theme="1"/>
      </rPr>
      <t>FullName_YourEmail_Group</t>
    </r>
  </si>
  <si>
    <r>
      <rPr>
        <rFont val="Arial"/>
        <color theme="1"/>
      </rPr>
      <t xml:space="preserve">Get the </t>
    </r>
    <r>
      <rPr>
        <rFont val="Arial"/>
        <b/>
        <color theme="1"/>
      </rPr>
      <t>COMMENT LINK to the Document</t>
    </r>
    <r>
      <rPr>
        <rFont val="Arial"/>
        <color theme="1"/>
      </rPr>
      <t xml:space="preserve">:
   - Click on </t>
    </r>
    <r>
      <rPr>
        <rFont val="Arial"/>
        <b/>
        <color theme="1"/>
      </rPr>
      <t>Share (top-right corner)</t>
    </r>
    <r>
      <rPr>
        <rFont val="Arial"/>
        <color theme="1"/>
      </rPr>
      <t>.
   - Under General access, change from “</t>
    </r>
    <r>
      <rPr>
        <rFont val="Arial"/>
        <b/>
        <color theme="1"/>
      </rPr>
      <t>Restricted</t>
    </r>
    <r>
      <rPr>
        <rFont val="Arial"/>
        <color theme="1"/>
      </rPr>
      <t>” to '</t>
    </r>
    <r>
      <rPr>
        <rFont val="Arial"/>
        <b/>
        <color theme="1"/>
      </rPr>
      <t>Anyone with the link</t>
    </r>
    <r>
      <rPr>
        <rFont val="Arial"/>
        <color theme="1"/>
      </rPr>
      <t xml:space="preserve">'.
   - Set access to </t>
    </r>
    <r>
      <rPr>
        <rFont val="Arial"/>
        <b/>
        <color theme="1"/>
      </rPr>
      <t>Commentor</t>
    </r>
    <r>
      <rPr>
        <rFont val="Arial"/>
        <color theme="1"/>
      </rPr>
      <t>.
   - Click Copy Link and paste it in the Google form below.</t>
    </r>
  </si>
  <si>
    <t>Assignment-4 Submission Guidelines – DevOps Micro Internship (DMI) Cohort- 2</t>
  </si>
  <si>
    <t>Solutions for the issues with the Assignment-12</t>
  </si>
  <si>
    <r>
      <rPr>
        <b/>
        <sz val="15.0"/>
      </rPr>
      <t xml:space="preserve">CLICK TO </t>
    </r>
    <r>
      <rPr>
        <b/>
        <color rgb="FF1155CC"/>
        <sz val="15.0"/>
        <u/>
      </rPr>
      <t>WATCH THE VIDEO - ASSIGNMENT 4</t>
    </r>
  </si>
  <si>
    <t>Week-3 contains 4 assignments</t>
  </si>
  <si>
    <r>
      <rPr>
        <rFont val="Arial"/>
        <b/>
        <color theme="1"/>
      </rPr>
      <t xml:space="preserve">📝 Meeting Notes – Assignment 12 Breakdown
Day 1: Implement &amp; Deploy
</t>
    </r>
    <r>
      <rPr>
        <rFont val="Arial"/>
        <b val="0"/>
        <color theme="1"/>
      </rPr>
      <t>ST-1: Build footer using HTML/CSS
ST-2: Commit and push changes
ST-3: Deploy to EC2
ST-4: Verify deployment and take a screenshot</t>
    </r>
    <r>
      <rPr>
        <rFont val="Arial"/>
        <b/>
        <color theme="1"/>
      </rPr>
      <t xml:space="preserve">
Day 2: Make Date Dynamic
</t>
    </r>
    <r>
      <rPr>
        <rFont val="Arial"/>
        <b val="0"/>
        <color theme="1"/>
      </rPr>
      <t>ST-1: Update footer with current date
ST-2: Commit and push
ST-3: Deploy and include screenshot + code snippet in README</t>
    </r>
    <r>
      <rPr>
        <rFont val="Arial"/>
        <b/>
        <color theme="1"/>
      </rPr>
      <t xml:space="preserve">
Days 3–5: EC2 Setup &amp; Deployment
</t>
    </r>
    <r>
      <rPr>
        <rFont val="Arial"/>
        <b val="0"/>
        <color theme="1"/>
      </rPr>
      <t>Create Ubuntu instance on EC2
Run Nginx (similar to React app setup)
Push changes to GitHub and deploy
Capture screenshots of deployed app on EC2 public IP</t>
    </r>
  </si>
  <si>
    <t>Assignment-10: (link)</t>
  </si>
  <si>
    <t xml:space="preserve">Create your Jira account and setup profile. </t>
  </si>
  <si>
    <t>Assignment-11: (link)</t>
  </si>
  <si>
    <t>Stand Up Scrum in Jira for Mini Finance</t>
  </si>
  <si>
    <t>Assignment-12: (link)</t>
  </si>
  <si>
    <t>Run a 5-Day Mini-Sprint in Jira and Ship an Increment</t>
  </si>
  <si>
    <t>Assignment-13: (link)</t>
  </si>
  <si>
    <t>Gotto Job — Backlog Refinement &amp; Sprint 1 in Jira (Team-managed)</t>
  </si>
  <si>
    <r>
      <rPr>
        <b/>
        <sz val="13.0"/>
      </rPr>
      <t xml:space="preserve">P.S. This post is part of the FREE DevOps Micro Internship (DMI) Cohort run by </t>
    </r>
    <r>
      <rPr>
        <b/>
        <color rgb="FF1155CC"/>
        <sz val="13.0"/>
        <u/>
      </rPr>
      <t>Pravin Mishra</t>
    </r>
    <r>
      <rPr>
        <b/>
        <sz val="13.0"/>
      </rPr>
      <t xml:space="preserve">. You can start your DevOps journey for free from his </t>
    </r>
    <r>
      <rPr>
        <b/>
        <color rgb="FF1155CC"/>
        <sz val="13.0"/>
        <u/>
      </rPr>
      <t>YouTube Playlist</t>
    </r>
    <r>
      <rPr>
        <b/>
        <sz val="13.0"/>
      </rPr>
      <t>.</t>
    </r>
  </si>
  <si>
    <r>
      <rPr>
        <rFont val="Arial"/>
        <color theme="1"/>
      </rPr>
      <t xml:space="preserve">Create a </t>
    </r>
    <r>
      <rPr>
        <rFont val="Arial"/>
        <b/>
        <color theme="1"/>
      </rPr>
      <t>single Google Doc for all five assignments.</t>
    </r>
  </si>
  <si>
    <r>
      <rPr>
        <rFont val="Arial"/>
        <color theme="1"/>
      </rPr>
      <t xml:space="preserve">The google doc must be named: </t>
    </r>
    <r>
      <rPr>
        <rFont val="Arial"/>
        <b/>
        <color theme="1"/>
      </rPr>
      <t>FullName_YourEmail_Group</t>
    </r>
  </si>
  <si>
    <r>
      <rPr>
        <rFont val="Arial"/>
        <color theme="1"/>
      </rPr>
      <t xml:space="preserve">Get the </t>
    </r>
    <r>
      <rPr>
        <rFont val="Arial"/>
        <b/>
        <color theme="1"/>
      </rPr>
      <t>COMMENT LINK to the Document</t>
    </r>
    <r>
      <rPr>
        <rFont val="Arial"/>
        <color theme="1"/>
      </rPr>
      <t xml:space="preserve">:
   - Click on </t>
    </r>
    <r>
      <rPr>
        <rFont val="Arial"/>
        <b/>
        <color theme="1"/>
      </rPr>
      <t>Share (top-right corner)</t>
    </r>
    <r>
      <rPr>
        <rFont val="Arial"/>
        <color theme="1"/>
      </rPr>
      <t>.
   - Under General access, change from “</t>
    </r>
    <r>
      <rPr>
        <rFont val="Arial"/>
        <b/>
        <color theme="1"/>
      </rPr>
      <t>Restricted</t>
    </r>
    <r>
      <rPr>
        <rFont val="Arial"/>
        <color theme="1"/>
      </rPr>
      <t>” to '</t>
    </r>
    <r>
      <rPr>
        <rFont val="Arial"/>
        <b/>
        <color theme="1"/>
      </rPr>
      <t>Anyone with the link</t>
    </r>
    <r>
      <rPr>
        <rFont val="Arial"/>
        <color theme="1"/>
      </rPr>
      <t xml:space="preserve">'.
   - Set access to </t>
    </r>
    <r>
      <rPr>
        <rFont val="Arial"/>
        <b/>
        <color theme="1"/>
      </rPr>
      <t>Commentor</t>
    </r>
    <r>
      <rPr>
        <rFont val="Arial"/>
        <color theme="1"/>
      </rPr>
      <t>.
   - Click Copy Link and paste it in the Google form below.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</si>
</sst>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/>
    <font>
      <b/>
      <sz val="13.0"/>
      <color rgb="FFFFFFFF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color rgb="FF666666"/>
      <name val="Arial"/>
      <scheme val="minor"/>
    </font>
    <font>
      <b/>
      <sz val="19.0"/>
      <color rgb="FFFFFFFF"/>
      <name val="Arial"/>
      <scheme val="minor"/>
    </font>
    <font>
      <b/>
      <sz val="18.0"/>
      <color rgb="FFFFE599"/>
      <name val="Arial"/>
      <scheme val="minor"/>
    </font>
    <font>
      <b/>
      <sz val="15.0"/>
      <color rgb="FFA64D79"/>
      <name val="Arial"/>
    </font>
    <font>
      <color theme="1"/>
      <name val="Arial"/>
    </font>
    <font>
      <b/>
      <sz val="13.0"/>
      <color theme="1"/>
      <name val="Arial"/>
    </font>
    <font>
      <b/>
      <sz val="13.0"/>
      <color theme="1"/>
      <name val="Arial"/>
      <scheme val="minor"/>
    </font>
    <font>
      <u/>
      <sz val="13.0"/>
      <color rgb="FF0000FF"/>
      <name val="&quot;Udemy Sans&quot;"/>
    </font>
    <font>
      <b/>
      <sz val="13.0"/>
      <color rgb="FFFFF2CC"/>
      <name val="Arial"/>
      <scheme val="minor"/>
    </font>
    <font>
      <b/>
      <sz val="13.0"/>
      <color rgb="FFFFF2CC"/>
      <name val="Arial"/>
    </font>
    <font>
      <b/>
      <u/>
      <sz val="17.0"/>
      <color rgb="FF0000FF"/>
    </font>
    <font>
      <b/>
      <u/>
      <sz val="15.0"/>
      <color rgb="FF0000FF"/>
    </font>
    <font>
      <b/>
      <u/>
      <sz val="12.0"/>
      <color rgb="FF0000FF"/>
    </font>
    <font>
      <b/>
      <u/>
      <sz val="14.0"/>
      <color rgb="FF0000FF"/>
    </font>
    <font>
      <b/>
      <sz val="14.0"/>
      <color theme="1"/>
      <name val="&quot;Udemy Sans&quot;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b/>
      <u/>
      <sz val="19.0"/>
      <color rgb="FF0000FF"/>
    </font>
    <font>
      <b/>
      <sz val="23.0"/>
      <color rgb="FFFFFFFF"/>
      <name val="Arial"/>
      <scheme val="minor"/>
    </font>
    <font>
      <b/>
      <u/>
      <sz val="13.0"/>
      <color rgb="FF0000FF"/>
    </font>
    <font>
      <b/>
      <sz val="15.0"/>
      <color rgb="FFFFFFFF"/>
      <name val="Arial"/>
      <scheme val="minor"/>
    </font>
    <font>
      <b/>
      <u/>
      <color rgb="FF0000FF"/>
    </font>
    <font>
      <b/>
      <u/>
      <sz val="13.0"/>
      <color rgb="FF0000FF"/>
    </font>
    <font>
      <b/>
      <sz val="15.0"/>
      <color rgb="FF000000"/>
      <name val="Arial"/>
      <scheme val="minor"/>
    </font>
    <font>
      <sz val="11.0"/>
      <color rgb="FF000000"/>
      <name val="Arial"/>
      <scheme val="minor"/>
    </font>
    <font>
      <b/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BE9B2"/>
        <bgColor rgb="FFFBE9B2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3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D966"/>
      </left>
      <top style="thick">
        <color rgb="FFFFD966"/>
      </top>
      <bottom style="thick">
        <color rgb="FFFFD966"/>
      </bottom>
    </border>
    <border>
      <top style="thick">
        <color rgb="FFFFD966"/>
      </top>
      <bottom style="thick">
        <color rgb="FFFFD966"/>
      </bottom>
    </border>
    <border>
      <right style="thick">
        <color rgb="FFFFD966"/>
      </right>
      <top style="thick">
        <color rgb="FFFFD966"/>
      </top>
      <bottom style="thick">
        <color rgb="FFFFD966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readingOrder="0" shrinkToFit="0" vertical="center" wrapText="1"/>
    </xf>
    <xf borderId="2" fillId="0" fontId="4" numFmtId="0" xfId="0" applyBorder="1" applyFont="1"/>
    <xf borderId="3" fillId="3" fontId="3" numFmtId="0" xfId="0" applyAlignment="1" applyBorder="1" applyFont="1">
      <alignment horizontal="center" readingOrder="0" shrinkToFit="0" wrapText="1"/>
    </xf>
    <xf borderId="4" fillId="0" fontId="4" numFmtId="0" xfId="0" applyBorder="1" applyFont="1"/>
    <xf borderId="5" fillId="4" fontId="5" numFmtId="0" xfId="0" applyAlignment="1" applyBorder="1" applyFill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5" fillId="6" fontId="7" numFmtId="0" xfId="0" applyAlignment="1" applyBorder="1" applyFill="1" applyFont="1">
      <alignment horizontal="center" readingOrder="0" shrinkToFit="0" wrapText="1"/>
    </xf>
    <xf borderId="8" fillId="0" fontId="4" numFmtId="0" xfId="0" applyBorder="1" applyFont="1"/>
    <xf borderId="9" fillId="0" fontId="6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/>
    </xf>
    <xf borderId="5" fillId="4" fontId="10" numFmtId="0" xfId="0" applyAlignment="1" applyBorder="1" applyFont="1">
      <alignment horizontal="center" readingOrder="0" shrinkToFit="0" vertical="center" wrapText="1"/>
    </xf>
    <xf borderId="10" fillId="2" fontId="11" numFmtId="0" xfId="0" applyAlignment="1" applyBorder="1" applyFon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0" fillId="0" fontId="12" numFmtId="0" xfId="0" applyAlignment="1" applyFont="1">
      <alignment shrinkToFit="0" wrapText="1"/>
    </xf>
    <xf borderId="0" fillId="0" fontId="13" numFmtId="0" xfId="0" applyAlignment="1" applyFont="1">
      <alignment horizontal="left" vertical="bottom"/>
    </xf>
    <xf borderId="13" fillId="0" fontId="8" numFmtId="0" xfId="0" applyBorder="1" applyFont="1"/>
    <xf borderId="14" fillId="7" fontId="14" numFmtId="0" xfId="0" applyAlignment="1" applyBorder="1" applyFill="1" applyFont="1">
      <alignment horizontal="center" shrinkToFit="0" vertical="bottom" wrapText="1"/>
    </xf>
    <xf borderId="15" fillId="0" fontId="4" numFmtId="0" xfId="0" applyBorder="1" applyFont="1"/>
    <xf borderId="16" fillId="0" fontId="4" numFmtId="0" xfId="0" applyBorder="1" applyFont="1"/>
    <xf borderId="4" fillId="7" fontId="15" numFmtId="0" xfId="0" applyAlignment="1" applyBorder="1" applyFont="1">
      <alignment horizontal="center" readingOrder="0" shrinkToFit="0" wrapText="1"/>
    </xf>
    <xf borderId="13" fillId="0" fontId="4" numFmtId="0" xfId="0" applyBorder="1" applyFont="1"/>
    <xf borderId="0" fillId="7" fontId="14" numFmtId="0" xfId="0" applyAlignment="1" applyFont="1">
      <alignment horizontal="center" shrinkToFit="0" vertical="bottom" wrapText="1"/>
    </xf>
    <xf borderId="0" fillId="7" fontId="15" numFmtId="0" xfId="0" applyAlignment="1" applyFont="1">
      <alignment horizontal="center" readingOrder="0" shrinkToFit="0" wrapText="1"/>
    </xf>
    <xf borderId="17" fillId="6" fontId="14" numFmtId="0" xfId="0" applyAlignment="1" applyBorder="1" applyFont="1">
      <alignment horizontal="center" readingOrder="0" shrinkToFit="0" vertical="bottom" wrapText="1"/>
    </xf>
    <xf borderId="18" fillId="0" fontId="4" numFmtId="0" xfId="0" applyBorder="1" applyFont="1"/>
    <xf borderId="19" fillId="0" fontId="4" numFmtId="0" xfId="0" applyBorder="1" applyFont="1"/>
    <xf borderId="20" fillId="6" fontId="14" numFmtId="0" xfId="0" applyAlignment="1" applyBorder="1" applyFont="1">
      <alignment horizontal="center" readingOrder="0" shrinkToFit="0" vertical="bottom" wrapText="1"/>
    </xf>
    <xf borderId="21" fillId="0" fontId="4" numFmtId="0" xfId="0" applyBorder="1" applyFont="1"/>
    <xf borderId="22" fillId="0" fontId="4" numFmtId="0" xfId="0" applyBorder="1" applyFont="1"/>
    <xf borderId="20" fillId="8" fontId="15" numFmtId="0" xfId="0" applyAlignment="1" applyBorder="1" applyFill="1" applyFont="1">
      <alignment horizontal="center" readingOrder="0" shrinkToFit="0" wrapText="1"/>
    </xf>
    <xf borderId="10" fillId="6" fontId="13" numFmtId="0" xfId="0" applyAlignment="1" applyBorder="1" applyFont="1">
      <alignment readingOrder="0" shrinkToFit="0" wrapText="1"/>
    </xf>
    <xf borderId="10" fillId="8" fontId="16" numFmtId="0" xfId="0" applyAlignment="1" applyBorder="1" applyFont="1">
      <alignment readingOrder="0" shrinkToFit="0" vertical="center" wrapText="1"/>
    </xf>
    <xf borderId="23" fillId="0" fontId="4" numFmtId="0" xfId="0" applyBorder="1" applyFont="1"/>
    <xf borderId="24" fillId="0" fontId="4" numFmtId="0" xfId="0" applyBorder="1" applyFont="1"/>
    <xf borderId="17" fillId="0" fontId="4" numFmtId="0" xfId="0" applyBorder="1" applyFont="1"/>
    <xf borderId="0" fillId="0" fontId="8" numFmtId="0" xfId="0" applyAlignment="1" applyFont="1">
      <alignment readingOrder="0" shrinkToFit="0" wrapText="1"/>
    </xf>
    <xf borderId="1" fillId="4" fontId="17" numFmtId="0" xfId="0" applyAlignment="1" applyBorder="1" applyFont="1">
      <alignment readingOrder="0" shrinkToFit="0" wrapText="1"/>
    </xf>
    <xf borderId="25" fillId="0" fontId="4" numFmtId="0" xfId="0" applyBorder="1" applyFont="1"/>
    <xf borderId="1" fillId="4" fontId="18" numFmtId="0" xfId="0" applyAlignment="1" applyBorder="1" applyFont="1">
      <alignment readingOrder="0" shrinkToFit="0" vertical="bottom" wrapText="1"/>
    </xf>
    <xf borderId="26" fillId="6" fontId="8" numFmtId="0" xfId="0" applyAlignment="1" applyBorder="1" applyFont="1">
      <alignment readingOrder="0" shrinkToFit="0" wrapText="1"/>
    </xf>
    <xf borderId="27" fillId="0" fontId="4" numFmtId="0" xfId="0" applyBorder="1" applyFont="1"/>
    <xf borderId="28" fillId="0" fontId="4" numFmtId="0" xfId="0" applyBorder="1" applyFont="1"/>
    <xf borderId="26" fillId="6" fontId="13" numFmtId="0" xfId="0" applyAlignment="1" applyBorder="1" applyFont="1">
      <alignment readingOrder="0" shrinkToFit="0" vertical="bottom" wrapText="1"/>
    </xf>
    <xf borderId="26" fillId="9" fontId="19" numFmtId="0" xfId="0" applyAlignment="1" applyBorder="1" applyFill="1" applyFont="1">
      <alignment horizontal="center" readingOrder="0" shrinkToFit="0" wrapText="1"/>
    </xf>
    <xf borderId="26" fillId="6" fontId="8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10" fontId="20" numFmtId="0" xfId="0" applyAlignment="1" applyFill="1" applyFont="1">
      <alignment horizontal="center" readingOrder="0"/>
    </xf>
    <xf borderId="3" fillId="3" fontId="21" numFmtId="0" xfId="0" applyAlignment="1" applyBorder="1" applyFont="1">
      <alignment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0" fontId="22" numFmtId="0" xfId="0" applyAlignment="1" applyBorder="1" applyFont="1">
      <alignment horizontal="center" readingOrder="0" shrinkToFit="0" wrapText="1"/>
    </xf>
    <xf borderId="3" fillId="0" fontId="23" numFmtId="0" xfId="0" applyAlignment="1" applyBorder="1" applyFont="1">
      <alignment readingOrder="0"/>
    </xf>
    <xf borderId="3" fillId="0" fontId="24" numFmtId="0" xfId="0" applyAlignment="1" applyBorder="1" applyFont="1">
      <alignment horizontal="center" readingOrder="0" shrinkToFit="0" wrapText="1"/>
    </xf>
    <xf borderId="3" fillId="0" fontId="25" numFmtId="0" xfId="0" applyAlignment="1" applyBorder="1" applyFont="1">
      <alignment horizontal="center" readingOrder="0" shrinkToFit="0" wrapText="1"/>
    </xf>
    <xf borderId="3" fillId="11" fontId="26" numFmtId="0" xfId="0" applyAlignment="1" applyBorder="1" applyFill="1" applyFont="1">
      <alignment horizontal="center" readingOrder="0"/>
    </xf>
    <xf borderId="21" fillId="12" fontId="27" numFmtId="0" xfId="0" applyAlignment="1" applyBorder="1" applyFill="1" applyFont="1">
      <alignment horizontal="center" readingOrder="0" shrinkToFit="0" wrapText="1"/>
    </xf>
    <xf borderId="0" fillId="10" fontId="28" numFmtId="0" xfId="0" applyAlignment="1" applyFont="1">
      <alignment horizontal="left" readingOrder="0" shrinkToFit="0" vertical="top" wrapText="1"/>
    </xf>
    <xf borderId="29" fillId="0" fontId="4" numFmtId="0" xfId="0" applyBorder="1" applyFont="1"/>
    <xf borderId="30" fillId="0" fontId="4" numFmtId="0" xfId="0" applyBorder="1" applyFont="1"/>
    <xf borderId="3" fillId="4" fontId="29" numFmtId="0" xfId="0" applyAlignment="1" applyBorder="1" applyFont="1">
      <alignment horizontal="left" readingOrder="0" shrinkToFit="0" wrapText="1"/>
    </xf>
    <xf borderId="31" fillId="6" fontId="8" numFmtId="0" xfId="0" applyAlignment="1" applyBorder="1" applyFont="1">
      <alignment readingOrder="0" shrinkToFit="0" wrapText="1"/>
    </xf>
    <xf borderId="32" fillId="0" fontId="4" numFmtId="0" xfId="0" applyBorder="1" applyFont="1"/>
    <xf borderId="33" fillId="0" fontId="4" numFmtId="0" xfId="0" applyBorder="1" applyFont="1"/>
    <xf borderId="9" fillId="0" fontId="30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/>
    </xf>
    <xf borderId="5" fillId="0" fontId="8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/>
    </xf>
    <xf borderId="1" fillId="4" fontId="5" numFmtId="0" xfId="0" applyAlignment="1" applyBorder="1" applyFont="1">
      <alignment horizontal="center" readingOrder="0"/>
    </xf>
    <xf borderId="20" fillId="8" fontId="6" numFmtId="0" xfId="0" applyAlignment="1" applyBorder="1" applyFont="1">
      <alignment horizontal="right" readingOrder="0" shrinkToFit="0" vertical="center" wrapText="1"/>
    </xf>
    <xf borderId="34" fillId="8" fontId="6" numFmtId="0" xfId="0" applyAlignment="1" applyBorder="1" applyFont="1">
      <alignment horizontal="center" readingOrder="0"/>
    </xf>
    <xf borderId="21" fillId="12" fontId="5" numFmtId="0" xfId="0" applyAlignment="1" applyBorder="1" applyFont="1">
      <alignment horizontal="center" readingOrder="0" shrinkToFit="0" wrapText="1"/>
    </xf>
    <xf borderId="0" fillId="10" fontId="31" numFmtId="0" xfId="0" applyAlignment="1" applyFont="1">
      <alignment horizontal="center" readingOrder="0" shrinkToFit="0" vertical="center" wrapText="1"/>
    </xf>
    <xf borderId="1" fillId="4" fontId="29" numFmtId="0" xfId="0" applyAlignment="1" applyBorder="1" applyFont="1">
      <alignment horizontal="left" readingOrder="0" shrinkToFit="0" wrapText="1"/>
    </xf>
    <xf borderId="3" fillId="7" fontId="32" numFmtId="0" xfId="0" applyAlignment="1" applyBorder="1" applyFont="1">
      <alignment horizontal="left" readingOrder="0" shrinkToFit="0" wrapText="1"/>
    </xf>
    <xf borderId="4" fillId="7" fontId="33" numFmtId="0" xfId="0" applyAlignment="1" applyBorder="1" applyFont="1">
      <alignment horizontal="left" readingOrder="0" shrinkToFit="0" wrapText="1"/>
    </xf>
    <xf borderId="35" fillId="7" fontId="15" numFmtId="0" xfId="0" applyAlignment="1" applyBorder="1" applyFont="1">
      <alignment horizontal="center" readingOrder="0" shrinkToFit="0" wrapText="1"/>
    </xf>
    <xf borderId="5" fillId="0" fontId="34" numFmtId="0" xfId="0" applyAlignment="1" applyBorder="1" applyFont="1">
      <alignment readingOrder="0" shrinkToFit="0" wrapText="1"/>
    </xf>
    <xf borderId="30" fillId="7" fontId="15" numFmtId="0" xfId="0" applyAlignment="1" applyBorder="1" applyFont="1">
      <alignment horizontal="center" readingOrder="0" shrinkToFit="0" wrapText="1"/>
    </xf>
    <xf borderId="29" fillId="13" fontId="3" numFmtId="0" xfId="0" applyAlignment="1" applyBorder="1" applyFill="1" applyFont="1">
      <alignment readingOrder="0"/>
    </xf>
    <xf borderId="5" fillId="0" fontId="6" numFmtId="0" xfId="0" applyAlignment="1" applyBorder="1" applyFont="1">
      <alignment readingOrder="0" shrinkToFit="0" vertical="top" wrapText="1"/>
    </xf>
    <xf borderId="36" fillId="0" fontId="4" numFmtId="0" xfId="0" applyBorder="1" applyFont="1"/>
    <xf borderId="3" fillId="7" fontId="3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1162050" cy="57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1333500" cy="66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809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1343025" cy="66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809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1476375" cy="76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809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pravin-mishra-aws-trainer/" TargetMode="External"/><Relationship Id="rId2" Type="http://schemas.openxmlformats.org/officeDocument/2006/relationships/hyperlink" Target="https://forms.gle/a75zxiu6goTMvFdP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JlN3YMh97A&amp;list=PLVOdqXbCs7bX88JeUZmK4fKTq2hJ5VS89&amp;index=4" TargetMode="External"/><Relationship Id="rId2" Type="http://schemas.openxmlformats.org/officeDocument/2006/relationships/hyperlink" Target="https://github.com/pravinmishraaws/DevOps-Micro-Internship/blob/8eb1a5d5da7ab9a3040c774903765428e95976bc/Week%200%20-%20Assignment/Assignment%3A%20Basic%20Understanding%20of%20Internet%2C%20Networking%20%26%20Tools%20Basics.md" TargetMode="External"/><Relationship Id="rId3" Type="http://schemas.openxmlformats.org/officeDocument/2006/relationships/hyperlink" Target="https://github.com/pravinmishraaws/DevOps-Micro-Internship/blob/8eb1a5d5da7ab9a3040c774903765428e95976bc/Week%200%20-%20Assignment/Task%201%3A%20Using%20ChatGPT%20as%20Your%20Learning%20Assistant.md" TargetMode="External"/><Relationship Id="rId4" Type="http://schemas.openxmlformats.org/officeDocument/2006/relationships/hyperlink" Target="https://github.com/pravinmishraaws/DevOps-Micro-Internship/blob/8eb1a5d5da7ab9a3040c774903765428e95976bc/Week%200%20-%20Assignment/Task%202%3A%20Internet%20and%20Networking.md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linkedin.com/in/pravin-mishra-aws-trainer/" TargetMode="External"/><Relationship Id="rId9" Type="http://schemas.openxmlformats.org/officeDocument/2006/relationships/hyperlink" Target="https://forms.gle/tF7iFZfNZMH4JaLu8" TargetMode="External"/><Relationship Id="rId5" Type="http://schemas.openxmlformats.org/officeDocument/2006/relationships/hyperlink" Target="https://github.com/pravinmishraaws/DevOps-Micro-Internship/blob/8eb1a5d5da7ab9a3040c774903765428e95976bc/Week%200%20-%20Assignment/Task%203%3A%20Application%20Architecture%20%26%20Stack.md" TargetMode="External"/><Relationship Id="rId6" Type="http://schemas.openxmlformats.org/officeDocument/2006/relationships/hyperlink" Target="https://github.com/pravinmishraaws/DevOps-Micro-Internship/blob/30536b6f7aeb8b089fab2d3373de3c17502d7209/Week%200%20-%20Assignment/Task%204%3A%20Domain%20Name%20%26%20DNS%20(Basic%20Concepts).md" TargetMode="External"/><Relationship Id="rId7" Type="http://schemas.openxmlformats.org/officeDocument/2006/relationships/hyperlink" Target="https://github.com/pravinmishraaws/DevOps-Micro-Internship/blob/30536b6f7aeb8b089fab2d3373de3c17502d7209/Week%200%20-%20Assignment/Task%205%3A%20Visual%20Studio%20Code%20Setup%20(Hands-on).md" TargetMode="External"/><Relationship Id="rId8" Type="http://schemas.openxmlformats.org/officeDocument/2006/relationships/hyperlink" Target="https://github.com/pravinmishraaws/DevOps-Micro-Internship/blob/30536b6f7aeb8b089fab2d3373de3c17502d7209/Week%200%20-%20Assignment/Task%206%3A%20Publish%20Your%20Assignment%20as%20a%20LinkedIn%20Post.m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U4j_RtDm2EU&amp;list=PLVOdqXbCs7bX88JeUZmK4fKTq2hJ5VS89&amp;index=9" TargetMode="External"/><Relationship Id="rId2" Type="http://schemas.openxmlformats.org/officeDocument/2006/relationships/hyperlink" Target="https://github.com/pravinmishraaws/Linux-for-DevOps-Cloud-and-SRE-Engineers/blob/1257845868f648eba15d5e4afed949119e2e96c0/Section_02%3A%20Setting_up_environment/assignment/Assignment-2%3A%20AWS%20Free%20Tier%20Account%20Setup.md" TargetMode="External"/><Relationship Id="rId3" Type="http://schemas.openxmlformats.org/officeDocument/2006/relationships/hyperlink" Target="https://github.com/pravinmishraaws/Linux-for-DevOps-Cloud-and-SRE-Engineers/blob/e3c304f4386f7e68d74b2e6e9abf46ac0f4ea27b/Section_05%3A%20Project_completion_and_results/assignment/Assignment%203%3A%20Deploy%20a%20React%20App%20on%20Ubuntu%20VM%20Using%20Nginx.md" TargetMode="External"/><Relationship Id="rId4" Type="http://schemas.openxmlformats.org/officeDocument/2006/relationships/hyperlink" Target="https://github.com/pravinmishraaws/Linux-for-DevOps-Cloud-and-SRE-Engineers/blob/3c317181541bc94e0c4d60fa386b7e399abe50d4/Section_06%3A%20Mastering_more_commands_in_Linux/assignment/Assignment%204%3A%20Linux%20Administration%20Practice.md" TargetMode="External"/><Relationship Id="rId5" Type="http://schemas.openxmlformats.org/officeDocument/2006/relationships/hyperlink" Target="https://www.linkedin.com/in/pravin-mishra-aws-trainer/" TargetMode="External"/><Relationship Id="rId6" Type="http://schemas.openxmlformats.org/officeDocument/2006/relationships/hyperlink" Target="https://docs.google.com/forms/d/e/1FAIpQLSexp5B8_LW3gJI8oczG3b7YxHyFbJ-jqX5F58_YBsYa3KMJDQ/viewform?usp=dialog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6CpdUhLsBRY&amp;list=PLVOdqXbCs7bX88JeUZmK4fKTq2hJ5VS89&amp;index=11" TargetMode="External"/><Relationship Id="rId2" Type="http://schemas.openxmlformats.org/officeDocument/2006/relationships/hyperlink" Target="https://github.com/pravinmishraaws/Git-GitHub-for-Absolute-Beginners/blob/536175e127276283e3cd152e179ac4b877fa1110/Section%202%3A%20Setting_Up_Git/assignments/Assignment-5%3A%20CodeTrack%E2%80%94%20Initial%20Git%20Setup%20(Local%20Only).md" TargetMode="External"/><Relationship Id="rId3" Type="http://schemas.openxmlformats.org/officeDocument/2006/relationships/hyperlink" Target="https://github.com/pravinmishraaws/Git-GitHub-for-Absolute-Beginners/blob/87da20fd7ef3fb5475b37725de62c3f6354e0810/Section%203%3A%20Basic_Git_Commands/assignments/Assignment%206%3A%20Tracking%20and%20Staging%20Changes%20in%20a%20CodeTrack%20Project.md" TargetMode="External"/><Relationship Id="rId4" Type="http://schemas.openxmlformats.org/officeDocument/2006/relationships/hyperlink" Target="https://github.com/pravinmishraaws/Git-GitHub-for-Absolute-Beginners/blob/a7673643ccd7da80f39fb0dc72cd6a2d247ae2c7/Section%204%3A%20Branching_in_Git/assignments/Assignment-7%3A%20%20Branching%20Workflow%20%E2%80%94%20Add%20%26%20Verify%20a%20Contact%20Page.md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github.com/pravinmishraaws/Git-GitHub-for-Absolute-Beginners/blob/6484e0f428fe4978f8ff5861168c31b55ce5e15f/Section%205%3A%20Introduction_to_GitHub/assignments/Assignment%208%3A%20Setting%20Up%20GitHub%20for%20CodeTrack.md" TargetMode="External"/><Relationship Id="rId6" Type="http://schemas.openxmlformats.org/officeDocument/2006/relationships/hyperlink" Target="https://github.com/pravinmishraaws/Git-GitHub-for-Absolute-Beginners/blob/1d0ef51fcb70c661ef8e3d3d64ecf3394ee35f66/Section%206%3A%20Working_with_GitHub_Repositories/assignment/Assignment%209%3A%20Collaborating%20on%20Mini-Finance%20with%20GitHub.md" TargetMode="External"/><Relationship Id="rId7" Type="http://schemas.openxmlformats.org/officeDocument/2006/relationships/hyperlink" Target="https://www.linkedin.com/in/pravin-mishra-aws-trainer/" TargetMode="External"/><Relationship Id="rId8" Type="http://schemas.openxmlformats.org/officeDocument/2006/relationships/hyperlink" Target="https://docs.google.com/forms/d/e/1FAIpQLSexp5B8_LW3gJI8oczG3b7YxHyFbJ-jqX5F58_YBsYa3KMJDQ/viewform?usp=dialo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mILliNbQCos&amp;list=PLVOdqXbCs7bX88JeUZmK4fKTq2hJ5VS89&amp;index=13" TargetMode="External"/><Relationship Id="rId2" Type="http://schemas.openxmlformats.org/officeDocument/2006/relationships/hyperlink" Target="https://github.com/pravinmishraaws/DevOps-Micro-Internship/blob/c18772f6c446261e9a49c2be4103f4ecd84aaa8d/Week%203%20-%20DevOps%20Lifecyle%20Assignment/Assignment%2010%3A%20Create%20your%20Jira%20account%20and%20setup%20profile.md" TargetMode="External"/><Relationship Id="rId3" Type="http://schemas.openxmlformats.org/officeDocument/2006/relationships/hyperlink" Target="https://github.com/pravinmishraaws/DevOps-Micro-Internship/blob/c18772f6c446261e9a49c2be4103f4ecd84aaa8d/Week%203%20-%20DevOps%20Lifecyle%20Assignment/Assignment%2011%3A%20Stand%20Up%20Scrum%20in%20Jira%20for%20Mini%20Finance.md" TargetMode="External"/><Relationship Id="rId4" Type="http://schemas.openxmlformats.org/officeDocument/2006/relationships/hyperlink" Target="https://github.com/pravinmishraaws/DevOps-Micro-Internship/blob/0d1e4d2befe68984ce24ef285cb9319b35ad6d46/Week%203%20-%20DevOps%20Lifecyle%20Assignment/Assignment%2012%3A%20Run%20a%205-Day%20Mini-Sprint%20in%20Jira%20and%20Ship%20an%20Increment.md" TargetMode="External"/><Relationship Id="rId5" Type="http://schemas.openxmlformats.org/officeDocument/2006/relationships/hyperlink" Target="https://github.com/pravinmishraaws/DevOps-Micro-Internship/blob/82856c58c1dbde0aadb18cdc03f166f329e319dd/Week%203%20-%20DevOps%20Lifecyle%20Assignment/Assignment%2013%3A%20Gotto%20Job%20%E2%80%94%20Backlog%20Refinement%20%26%20Sprint%201%20in%20Jira%20(Team-managed).md" TargetMode="External"/><Relationship Id="rId6" Type="http://schemas.openxmlformats.org/officeDocument/2006/relationships/hyperlink" Target="https://www.linkedin.com/in/pravin-mishra-aws-trainer/" TargetMode="External"/><Relationship Id="rId7" Type="http://schemas.openxmlformats.org/officeDocument/2006/relationships/hyperlink" Target="https://docs.google.com/forms/d/e/1FAIpQLSexp5B8_LW3gJI8oczG3b7YxHyFbJ-jqX5F58_YBsYa3KMJDQ/viewform?usp=dialog" TargetMode="External"/><Relationship Id="rId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25"/>
    <col customWidth="1" min="2" max="2" width="40.13"/>
    <col customWidth="1" min="3" max="3" width="21.0"/>
    <col customWidth="1" min="4" max="4" width="21.13"/>
    <col customWidth="1" min="5" max="5" width="17.38"/>
    <col customWidth="1" min="6" max="6" width="15.13"/>
    <col customWidth="1" min="7" max="7" width="17.5"/>
    <col customWidth="1" min="8" max="8" width="20.7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5" t="s">
        <v>3</v>
      </c>
      <c r="D3" s="6"/>
      <c r="E3" s="6"/>
      <c r="F3" s="7" t="s">
        <v>4</v>
      </c>
      <c r="G3" s="8" t="s">
        <v>5</v>
      </c>
      <c r="H3" s="9"/>
    </row>
    <row r="4">
      <c r="A4" s="10"/>
      <c r="B4" s="11"/>
      <c r="C4" s="12" t="s">
        <v>6</v>
      </c>
      <c r="D4" s="12" t="s">
        <v>7</v>
      </c>
      <c r="E4" s="12" t="s">
        <v>8</v>
      </c>
      <c r="F4" s="13"/>
      <c r="G4" s="13"/>
    </row>
    <row r="5">
      <c r="A5" s="14" t="s">
        <v>9</v>
      </c>
      <c r="B5" s="15" t="s">
        <v>10</v>
      </c>
      <c r="C5" s="16">
        <v>15.0</v>
      </c>
      <c r="D5" s="17">
        <v>5.0</v>
      </c>
      <c r="E5" s="17"/>
      <c r="F5" s="18">
        <f t="shared" ref="F5:F8" si="1">SUM(C5:E5)</f>
        <v>20</v>
      </c>
      <c r="G5" s="19">
        <v>25.0</v>
      </c>
    </row>
    <row r="6">
      <c r="A6" s="14" t="s">
        <v>11</v>
      </c>
      <c r="B6" s="15" t="s">
        <v>12</v>
      </c>
      <c r="C6" s="16">
        <v>15.0</v>
      </c>
      <c r="D6" s="17">
        <v>10.0</v>
      </c>
      <c r="E6" s="17">
        <v>15.0</v>
      </c>
      <c r="F6" s="18">
        <f t="shared" si="1"/>
        <v>40</v>
      </c>
      <c r="G6" s="13"/>
    </row>
    <row r="7">
      <c r="A7" s="14" t="s">
        <v>13</v>
      </c>
      <c r="B7" s="15" t="s">
        <v>14</v>
      </c>
      <c r="C7" s="16">
        <v>20.0</v>
      </c>
      <c r="D7" s="17">
        <v>10.0</v>
      </c>
      <c r="E7" s="17"/>
      <c r="F7" s="18">
        <f t="shared" si="1"/>
        <v>30</v>
      </c>
      <c r="G7" s="19">
        <v>25.0</v>
      </c>
      <c r="H7" s="9"/>
    </row>
    <row r="8">
      <c r="A8" s="14" t="s">
        <v>15</v>
      </c>
      <c r="B8" s="15" t="s">
        <v>16</v>
      </c>
      <c r="C8" s="16">
        <v>25.0</v>
      </c>
      <c r="D8" s="17">
        <v>10.0</v>
      </c>
      <c r="E8" s="17">
        <v>25.0</v>
      </c>
      <c r="F8" s="18">
        <f t="shared" si="1"/>
        <v>60</v>
      </c>
      <c r="G8" s="13"/>
      <c r="H8" s="9"/>
    </row>
    <row r="9">
      <c r="A9" s="20" t="s">
        <v>4</v>
      </c>
      <c r="B9" s="21"/>
      <c r="C9" s="21"/>
      <c r="D9" s="21"/>
      <c r="E9" s="22"/>
      <c r="F9" s="20">
        <f>SUM(F5:F8)+G5+G7</f>
        <v>200</v>
      </c>
      <c r="G9" s="22"/>
    </row>
    <row r="10">
      <c r="A10" s="23"/>
      <c r="B10" s="23"/>
      <c r="C10" s="24"/>
      <c r="E10" s="25"/>
      <c r="F10" s="25"/>
      <c r="G10" s="25"/>
    </row>
    <row r="11">
      <c r="A11" s="26"/>
      <c r="B11" s="27"/>
      <c r="C11" s="27"/>
      <c r="D11" s="28"/>
      <c r="E11" s="29" t="s">
        <v>17</v>
      </c>
      <c r="F11" s="6"/>
      <c r="G11" s="30"/>
    </row>
    <row r="12">
      <c r="A12" s="31"/>
      <c r="B12" s="31"/>
      <c r="C12" s="31"/>
      <c r="D12" s="32"/>
      <c r="E12" s="32"/>
      <c r="F12" s="32"/>
      <c r="G12" s="32"/>
    </row>
    <row r="13">
      <c r="A13" s="33" t="s">
        <v>18</v>
      </c>
      <c r="B13" s="34"/>
      <c r="C13" s="34"/>
      <c r="D13" s="34"/>
      <c r="E13" s="34"/>
      <c r="F13" s="34"/>
      <c r="G13" s="35"/>
    </row>
    <row r="14">
      <c r="A14" s="36" t="s">
        <v>19</v>
      </c>
      <c r="B14" s="37"/>
      <c r="C14" s="38"/>
      <c r="D14" s="39" t="s">
        <v>20</v>
      </c>
      <c r="E14" s="37"/>
      <c r="F14" s="37"/>
      <c r="G14" s="38"/>
    </row>
    <row r="15" ht="21.0" customHeight="1">
      <c r="A15" s="40" t="s">
        <v>21</v>
      </c>
      <c r="B15" s="21"/>
      <c r="C15" s="22"/>
      <c r="D15" s="41" t="s">
        <v>22</v>
      </c>
      <c r="E15" s="21"/>
      <c r="F15" s="21"/>
      <c r="G15" s="22"/>
    </row>
    <row r="16" ht="21.0" customHeight="1">
      <c r="A16" s="42"/>
      <c r="C16" s="43"/>
      <c r="D16" s="42"/>
      <c r="G16" s="43"/>
    </row>
    <row r="17" ht="21.0" customHeight="1">
      <c r="A17" s="42"/>
      <c r="C17" s="43"/>
      <c r="D17" s="42"/>
      <c r="G17" s="43"/>
    </row>
    <row r="18" ht="21.0" customHeight="1">
      <c r="A18" s="42"/>
      <c r="C18" s="43"/>
      <c r="D18" s="42"/>
      <c r="G18" s="43"/>
    </row>
    <row r="19" ht="21.0" customHeight="1">
      <c r="A19" s="44"/>
      <c r="B19" s="34"/>
      <c r="C19" s="35"/>
      <c r="D19" s="44"/>
      <c r="E19" s="34"/>
      <c r="F19" s="34"/>
      <c r="G19" s="35"/>
    </row>
    <row r="20">
      <c r="B20" s="45"/>
    </row>
    <row r="21">
      <c r="B21" s="45"/>
    </row>
    <row r="22">
      <c r="A22" s="46" t="s">
        <v>23</v>
      </c>
      <c r="B22" s="47"/>
      <c r="C22" s="4"/>
      <c r="D22" s="48" t="s">
        <v>24</v>
      </c>
      <c r="E22" s="47"/>
      <c r="F22" s="47"/>
      <c r="G22" s="4"/>
    </row>
    <row r="23">
      <c r="A23" s="49" t="s">
        <v>25</v>
      </c>
      <c r="B23" s="50"/>
      <c r="C23" s="51"/>
      <c r="D23" s="52" t="s">
        <v>26</v>
      </c>
      <c r="E23" s="50"/>
      <c r="F23" s="50"/>
      <c r="G23" s="51"/>
    </row>
    <row r="24">
      <c r="A24" s="49" t="s">
        <v>27</v>
      </c>
      <c r="B24" s="50"/>
      <c r="C24" s="51"/>
      <c r="D24" s="52" t="s">
        <v>28</v>
      </c>
      <c r="E24" s="50"/>
      <c r="F24" s="50"/>
      <c r="G24" s="51"/>
    </row>
    <row r="25">
      <c r="A25" s="49" t="s">
        <v>29</v>
      </c>
      <c r="B25" s="50"/>
      <c r="C25" s="51"/>
      <c r="D25" s="52" t="s">
        <v>30</v>
      </c>
      <c r="E25" s="50"/>
      <c r="F25" s="50"/>
      <c r="G25" s="51"/>
    </row>
    <row r="26">
      <c r="A26" s="49" t="s">
        <v>31</v>
      </c>
      <c r="B26" s="50"/>
      <c r="C26" s="51"/>
      <c r="D26" s="52" t="s">
        <v>32</v>
      </c>
      <c r="E26" s="50"/>
      <c r="F26" s="50"/>
      <c r="G26" s="51"/>
    </row>
    <row r="27" ht="27.0" customHeight="1">
      <c r="A27" s="53" t="s">
        <v>33</v>
      </c>
      <c r="B27" s="50"/>
      <c r="C27" s="50"/>
      <c r="D27" s="50"/>
      <c r="E27" s="50"/>
      <c r="F27" s="50"/>
      <c r="G27" s="51"/>
    </row>
    <row r="28" ht="18.0" customHeight="1">
      <c r="A28" s="54" t="s">
        <v>34</v>
      </c>
      <c r="B28" s="50"/>
      <c r="C28" s="50"/>
      <c r="D28" s="50"/>
      <c r="E28" s="50"/>
      <c r="F28" s="50"/>
      <c r="G28" s="51"/>
    </row>
    <row r="29">
      <c r="B29" s="55"/>
    </row>
    <row r="35">
      <c r="B35" s="55"/>
    </row>
    <row r="36">
      <c r="B36" s="55"/>
    </row>
    <row r="37">
      <c r="A37" s="56"/>
      <c r="B37" s="55"/>
    </row>
    <row r="38">
      <c r="B38" s="55"/>
    </row>
    <row r="39">
      <c r="B39" s="55"/>
    </row>
    <row r="40">
      <c r="B40" s="55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  <row r="995">
      <c r="B995" s="55"/>
    </row>
    <row r="996">
      <c r="B996" s="55"/>
    </row>
    <row r="997">
      <c r="B997" s="55"/>
    </row>
    <row r="998">
      <c r="B998" s="55"/>
    </row>
    <row r="999">
      <c r="B999" s="55"/>
    </row>
    <row r="1000">
      <c r="B1000" s="55"/>
    </row>
    <row r="1001">
      <c r="B1001" s="55"/>
    </row>
    <row r="1002">
      <c r="B1002" s="55"/>
    </row>
    <row r="1003">
      <c r="B1003" s="55"/>
    </row>
    <row r="1004">
      <c r="B1004" s="55"/>
    </row>
    <row r="1005">
      <c r="B1005" s="55"/>
    </row>
    <row r="1006">
      <c r="B1006" s="55"/>
    </row>
    <row r="1007">
      <c r="B1007" s="55"/>
    </row>
    <row r="1008">
      <c r="B1008" s="55"/>
    </row>
    <row r="1009">
      <c r="B1009" s="55"/>
    </row>
    <row r="1010">
      <c r="B1010" s="55"/>
    </row>
    <row r="1011">
      <c r="B1011" s="55"/>
    </row>
    <row r="1012">
      <c r="B1012" s="55"/>
    </row>
    <row r="1013">
      <c r="B1013" s="55"/>
    </row>
    <row r="1014">
      <c r="B1014" s="55"/>
    </row>
  </sheetData>
  <mergeCells count="30">
    <mergeCell ref="G5:G6"/>
    <mergeCell ref="G7:G8"/>
    <mergeCell ref="A1:G1"/>
    <mergeCell ref="A2:G2"/>
    <mergeCell ref="A3:B4"/>
    <mergeCell ref="C3:E3"/>
    <mergeCell ref="F3:F4"/>
    <mergeCell ref="G3:G4"/>
    <mergeCell ref="H3:H6"/>
    <mergeCell ref="A9:E9"/>
    <mergeCell ref="F9:G9"/>
    <mergeCell ref="A11:D11"/>
    <mergeCell ref="E11:G11"/>
    <mergeCell ref="A13:G13"/>
    <mergeCell ref="A14:C14"/>
    <mergeCell ref="D14:G14"/>
    <mergeCell ref="A24:C24"/>
    <mergeCell ref="A25:C25"/>
    <mergeCell ref="A26:C26"/>
    <mergeCell ref="D25:G25"/>
    <mergeCell ref="D26:G26"/>
    <mergeCell ref="A27:G27"/>
    <mergeCell ref="A28:G28"/>
    <mergeCell ref="A15:C19"/>
    <mergeCell ref="D15:G19"/>
    <mergeCell ref="A22:C22"/>
    <mergeCell ref="D22:G22"/>
    <mergeCell ref="A23:C23"/>
    <mergeCell ref="D23:G23"/>
    <mergeCell ref="D24:G24"/>
  </mergeCells>
  <hyperlinks>
    <hyperlink r:id="rId1" ref="D15"/>
    <hyperlink r:id="rId2" ref="A2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88"/>
    <col customWidth="1" min="2" max="2" width="37.5"/>
    <col customWidth="1" min="3" max="3" width="16.88"/>
    <col customWidth="1" min="4" max="4" width="18.13"/>
    <col customWidth="1" min="5" max="5" width="24.13"/>
    <col customWidth="1" min="6" max="6" width="20.0"/>
  </cols>
  <sheetData>
    <row r="1">
      <c r="A1" s="1" t="s">
        <v>35</v>
      </c>
    </row>
    <row r="2">
      <c r="A2" s="57" t="s">
        <v>36</v>
      </c>
    </row>
    <row r="3">
      <c r="A3" s="58" t="s">
        <v>37</v>
      </c>
      <c r="B3" s="30"/>
      <c r="C3" s="5"/>
      <c r="D3" s="6"/>
      <c r="E3" s="30"/>
      <c r="F3" s="59"/>
    </row>
    <row r="4">
      <c r="A4" s="60" t="s">
        <v>38</v>
      </c>
      <c r="B4" s="30"/>
      <c r="C4" s="61" t="s">
        <v>39</v>
      </c>
      <c r="D4" s="6"/>
      <c r="E4" s="30"/>
      <c r="F4" s="18"/>
    </row>
    <row r="5">
      <c r="A5" s="60" t="s">
        <v>40</v>
      </c>
      <c r="B5" s="30"/>
      <c r="C5" s="61" t="s">
        <v>41</v>
      </c>
      <c r="D5" s="6"/>
      <c r="E5" s="30"/>
      <c r="F5" s="18"/>
    </row>
    <row r="6">
      <c r="A6" s="60" t="s">
        <v>42</v>
      </c>
      <c r="B6" s="30"/>
      <c r="C6" s="61" t="s">
        <v>43</v>
      </c>
      <c r="D6" s="6"/>
      <c r="E6" s="30"/>
      <c r="F6" s="18"/>
    </row>
    <row r="7">
      <c r="A7" s="60" t="s">
        <v>44</v>
      </c>
      <c r="B7" s="30"/>
      <c r="C7" s="61" t="s">
        <v>45</v>
      </c>
      <c r="D7" s="6"/>
      <c r="E7" s="30"/>
      <c r="F7" s="18"/>
    </row>
    <row r="8">
      <c r="A8" s="60" t="s">
        <v>46</v>
      </c>
      <c r="B8" s="30"/>
      <c r="C8" s="61" t="s">
        <v>47</v>
      </c>
      <c r="D8" s="6"/>
      <c r="E8" s="30"/>
      <c r="F8" s="18"/>
    </row>
    <row r="9">
      <c r="A9" s="60" t="s">
        <v>48</v>
      </c>
      <c r="B9" s="30"/>
      <c r="C9" s="61" t="s">
        <v>49</v>
      </c>
      <c r="D9" s="6"/>
      <c r="E9" s="30"/>
      <c r="F9" s="18"/>
    </row>
    <row r="10">
      <c r="A10" s="62"/>
      <c r="B10" s="6"/>
      <c r="C10" s="6"/>
      <c r="D10" s="6"/>
      <c r="E10" s="6"/>
      <c r="F10" s="30"/>
    </row>
    <row r="11">
      <c r="A11" s="63" t="s">
        <v>50</v>
      </c>
      <c r="B11" s="6"/>
      <c r="C11" s="6"/>
      <c r="D11" s="6"/>
      <c r="E11" s="6"/>
      <c r="F11" s="30"/>
    </row>
    <row r="12">
      <c r="A12" s="64" t="s">
        <v>51</v>
      </c>
      <c r="B12" s="6"/>
      <c r="C12" s="6"/>
      <c r="D12" s="6"/>
      <c r="E12" s="6"/>
      <c r="F12" s="30"/>
    </row>
    <row r="13">
      <c r="B13" s="45"/>
    </row>
    <row r="14">
      <c r="B14" s="45"/>
    </row>
    <row r="15">
      <c r="A15" s="65" t="s">
        <v>52</v>
      </c>
      <c r="B15" s="37"/>
      <c r="C15" s="37"/>
      <c r="D15" s="37"/>
      <c r="E15" s="37"/>
      <c r="F15" s="38"/>
    </row>
    <row r="16">
      <c r="A16" s="66" t="s">
        <v>53</v>
      </c>
      <c r="F16" s="67"/>
    </row>
    <row r="17" ht="26.25" customHeight="1">
      <c r="F17" s="67"/>
    </row>
    <row r="18" ht="29.25" customHeight="1">
      <c r="A18" s="68"/>
      <c r="B18" s="68"/>
      <c r="C18" s="68"/>
      <c r="D18" s="68"/>
      <c r="E18" s="68"/>
      <c r="F18" s="11"/>
    </row>
    <row r="19">
      <c r="B19" s="55"/>
    </row>
    <row r="20">
      <c r="A20" s="69" t="s">
        <v>54</v>
      </c>
      <c r="B20" s="6"/>
      <c r="C20" s="30"/>
      <c r="D20" s="48" t="s">
        <v>24</v>
      </c>
      <c r="E20" s="47"/>
      <c r="F20" s="4"/>
    </row>
    <row r="21">
      <c r="A21" s="49" t="s">
        <v>55</v>
      </c>
      <c r="B21" s="50"/>
      <c r="C21" s="51"/>
      <c r="D21" s="52" t="s">
        <v>26</v>
      </c>
      <c r="E21" s="50"/>
      <c r="F21" s="51"/>
    </row>
    <row r="22">
      <c r="A22" s="49" t="s">
        <v>27</v>
      </c>
      <c r="B22" s="50"/>
      <c r="C22" s="51"/>
      <c r="D22" s="52" t="s">
        <v>28</v>
      </c>
      <c r="E22" s="50"/>
      <c r="F22" s="51"/>
    </row>
    <row r="23">
      <c r="A23" s="49" t="s">
        <v>56</v>
      </c>
      <c r="B23" s="50"/>
      <c r="C23" s="51"/>
      <c r="D23" s="52" t="s">
        <v>30</v>
      </c>
      <c r="E23" s="50"/>
      <c r="F23" s="51"/>
    </row>
    <row r="24">
      <c r="A24" s="70" t="s">
        <v>57</v>
      </c>
      <c r="B24" s="71"/>
      <c r="C24" s="72"/>
      <c r="D24" s="52" t="s">
        <v>32</v>
      </c>
      <c r="E24" s="50"/>
      <c r="F24" s="51"/>
    </row>
    <row r="25">
      <c r="B25" s="55"/>
    </row>
    <row r="31">
      <c r="B31" s="55"/>
    </row>
    <row r="32">
      <c r="B32" s="55"/>
    </row>
    <row r="33">
      <c r="A33" s="56"/>
      <c r="B33" s="55"/>
    </row>
    <row r="34">
      <c r="B34" s="55"/>
    </row>
    <row r="35">
      <c r="B35" s="55"/>
    </row>
    <row r="36">
      <c r="B36" s="55"/>
    </row>
    <row r="37">
      <c r="B37" s="55"/>
    </row>
    <row r="38">
      <c r="B38" s="55"/>
    </row>
    <row r="39">
      <c r="B39" s="55"/>
    </row>
    <row r="40">
      <c r="B40" s="55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  <row r="995">
      <c r="B995" s="55"/>
    </row>
    <row r="996">
      <c r="B996" s="55"/>
    </row>
    <row r="997">
      <c r="B997" s="55"/>
    </row>
    <row r="998">
      <c r="B998" s="55"/>
    </row>
    <row r="999">
      <c r="B999" s="55"/>
    </row>
    <row r="1000">
      <c r="B1000" s="55"/>
    </row>
    <row r="1001">
      <c r="B1001" s="55"/>
    </row>
    <row r="1002">
      <c r="B1002" s="55"/>
    </row>
    <row r="1003">
      <c r="B1003" s="55"/>
    </row>
    <row r="1004">
      <c r="B1004" s="55"/>
    </row>
    <row r="1005">
      <c r="B1005" s="55"/>
    </row>
    <row r="1006">
      <c r="B1006" s="55"/>
    </row>
    <row r="1007">
      <c r="B1007" s="55"/>
    </row>
    <row r="1008">
      <c r="B1008" s="55"/>
    </row>
    <row r="1009">
      <c r="B1009" s="55"/>
    </row>
    <row r="1010">
      <c r="B1010" s="55"/>
    </row>
  </sheetData>
  <mergeCells count="31">
    <mergeCell ref="A5:B5"/>
    <mergeCell ref="A6:B6"/>
    <mergeCell ref="A7:B7"/>
    <mergeCell ref="A8:B8"/>
    <mergeCell ref="A9:B9"/>
    <mergeCell ref="A1:F1"/>
    <mergeCell ref="A2:F2"/>
    <mergeCell ref="A3:B3"/>
    <mergeCell ref="C3:E3"/>
    <mergeCell ref="A4:B4"/>
    <mergeCell ref="C4:E4"/>
    <mergeCell ref="C5:E5"/>
    <mergeCell ref="C6:E6"/>
    <mergeCell ref="C7:E7"/>
    <mergeCell ref="C8:E8"/>
    <mergeCell ref="C9:E9"/>
    <mergeCell ref="A10:F10"/>
    <mergeCell ref="A11:F11"/>
    <mergeCell ref="A12:F12"/>
    <mergeCell ref="A22:C22"/>
    <mergeCell ref="A23:C23"/>
    <mergeCell ref="A24:C24"/>
    <mergeCell ref="D23:F23"/>
    <mergeCell ref="D24:F24"/>
    <mergeCell ref="A15:F15"/>
    <mergeCell ref="A16:F18"/>
    <mergeCell ref="A20:C20"/>
    <mergeCell ref="D20:F20"/>
    <mergeCell ref="A21:C21"/>
    <mergeCell ref="D21:F21"/>
    <mergeCell ref="D22:F22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2"/>
    <hyperlink r:id="rId10" ref="A16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40.13"/>
    <col customWidth="1" min="3" max="3" width="16.88"/>
    <col customWidth="1" min="4" max="4" width="22.5"/>
    <col customWidth="1" min="5" max="5" width="15.63"/>
    <col customWidth="1" min="6" max="6" width="15.13"/>
    <col customWidth="1" min="7" max="7" width="17.5"/>
  </cols>
  <sheetData>
    <row r="1">
      <c r="A1" s="1" t="s">
        <v>58</v>
      </c>
    </row>
    <row r="2">
      <c r="A2" s="57" t="s">
        <v>59</v>
      </c>
    </row>
    <row r="3">
      <c r="A3" s="3" t="s">
        <v>60</v>
      </c>
      <c r="B3" s="4"/>
      <c r="C3" s="5" t="s">
        <v>3</v>
      </c>
      <c r="D3" s="6"/>
      <c r="E3" s="30"/>
      <c r="F3" s="7" t="s">
        <v>4</v>
      </c>
    </row>
    <row r="4">
      <c r="A4" s="10"/>
      <c r="B4" s="11"/>
      <c r="C4" s="12" t="s">
        <v>6</v>
      </c>
      <c r="D4" s="12" t="s">
        <v>61</v>
      </c>
      <c r="E4" s="12" t="s">
        <v>62</v>
      </c>
      <c r="F4" s="13"/>
    </row>
    <row r="5">
      <c r="A5" s="73" t="s">
        <v>63</v>
      </c>
      <c r="B5" s="15" t="s">
        <v>64</v>
      </c>
      <c r="C5" s="16">
        <v>20.0</v>
      </c>
      <c r="D5" s="74">
        <v>10.0</v>
      </c>
      <c r="E5" s="75"/>
      <c r="F5" s="18">
        <v>30.0</v>
      </c>
    </row>
    <row r="6">
      <c r="A6" s="73" t="s">
        <v>65</v>
      </c>
      <c r="B6" s="15" t="s">
        <v>66</v>
      </c>
      <c r="C6" s="16">
        <v>10.0</v>
      </c>
      <c r="D6" s="74">
        <v>10.0</v>
      </c>
      <c r="E6" s="74">
        <v>10.0</v>
      </c>
      <c r="F6" s="18">
        <v>30.0</v>
      </c>
    </row>
    <row r="7">
      <c r="A7" s="73" t="s">
        <v>67</v>
      </c>
      <c r="B7" s="76" t="s">
        <v>68</v>
      </c>
      <c r="C7" s="77">
        <v>30.0</v>
      </c>
      <c r="D7" s="78">
        <v>10.0</v>
      </c>
      <c r="E7" s="79"/>
      <c r="F7" s="80">
        <v>40.0</v>
      </c>
    </row>
    <row r="8">
      <c r="A8" s="81" t="s">
        <v>69</v>
      </c>
      <c r="B8" s="37"/>
      <c r="C8" s="37"/>
      <c r="D8" s="37"/>
      <c r="E8" s="37"/>
      <c r="F8" s="82">
        <v>100.0</v>
      </c>
    </row>
    <row r="9">
      <c r="B9" s="45"/>
    </row>
    <row r="10">
      <c r="A10" s="26"/>
      <c r="B10" s="27"/>
      <c r="C10" s="27"/>
      <c r="D10" s="28"/>
      <c r="E10" s="29" t="s">
        <v>70</v>
      </c>
      <c r="F10" s="6"/>
      <c r="G10" s="30"/>
    </row>
    <row r="11">
      <c r="B11" s="45"/>
    </row>
    <row r="12">
      <c r="A12" s="83" t="s">
        <v>52</v>
      </c>
      <c r="B12" s="37"/>
      <c r="C12" s="37"/>
      <c r="D12" s="37"/>
      <c r="E12" s="37"/>
      <c r="F12" s="37"/>
      <c r="G12" s="38"/>
    </row>
    <row r="13">
      <c r="A13" s="84" t="s">
        <v>71</v>
      </c>
      <c r="G13" s="67"/>
    </row>
    <row r="14">
      <c r="G14" s="67"/>
    </row>
    <row r="15">
      <c r="A15" s="68"/>
      <c r="B15" s="68"/>
      <c r="C15" s="68"/>
      <c r="D15" s="68"/>
      <c r="E15" s="68"/>
      <c r="F15" s="68"/>
      <c r="G15" s="11"/>
    </row>
    <row r="16">
      <c r="B16" s="55"/>
    </row>
    <row r="17">
      <c r="A17" s="85" t="s">
        <v>54</v>
      </c>
      <c r="B17" s="47"/>
      <c r="C17" s="4"/>
      <c r="D17" s="86" t="s">
        <v>72</v>
      </c>
      <c r="E17" s="6"/>
      <c r="F17" s="6"/>
      <c r="G17" s="30"/>
    </row>
    <row r="18">
      <c r="A18" s="49" t="s">
        <v>73</v>
      </c>
      <c r="B18" s="50"/>
      <c r="C18" s="51"/>
      <c r="D18" s="87" t="s">
        <v>74</v>
      </c>
      <c r="E18" s="6"/>
      <c r="F18" s="6"/>
      <c r="G18" s="30"/>
    </row>
    <row r="19">
      <c r="A19" s="49" t="s">
        <v>27</v>
      </c>
      <c r="B19" s="50"/>
      <c r="C19" s="51"/>
      <c r="D19" s="87" t="s">
        <v>75</v>
      </c>
      <c r="E19" s="6"/>
      <c r="F19" s="6"/>
      <c r="G19" s="30"/>
    </row>
    <row r="20">
      <c r="A20" s="49" t="s">
        <v>76</v>
      </c>
      <c r="B20" s="50"/>
      <c r="C20" s="51"/>
      <c r="D20" s="87" t="s">
        <v>77</v>
      </c>
      <c r="E20" s="6"/>
      <c r="F20" s="6"/>
      <c r="G20" s="30"/>
    </row>
    <row r="21">
      <c r="A21" s="70" t="s">
        <v>78</v>
      </c>
      <c r="B21" s="71"/>
      <c r="C21" s="72"/>
      <c r="D21" s="87"/>
      <c r="E21" s="6"/>
      <c r="F21" s="6"/>
      <c r="G21" s="30"/>
    </row>
    <row r="22">
      <c r="A22" s="64" t="s">
        <v>51</v>
      </c>
      <c r="B22" s="6"/>
      <c r="C22" s="6"/>
      <c r="D22" s="6"/>
      <c r="E22" s="6"/>
      <c r="F22" s="6"/>
      <c r="G22" s="30"/>
    </row>
    <row r="23">
      <c r="B23" s="55"/>
    </row>
    <row r="24">
      <c r="A24" s="48" t="s">
        <v>24</v>
      </c>
      <c r="B24" s="47"/>
      <c r="C24" s="4"/>
    </row>
    <row r="25">
      <c r="A25" s="52" t="s">
        <v>26</v>
      </c>
      <c r="B25" s="50"/>
      <c r="C25" s="51"/>
    </row>
    <row r="26">
      <c r="A26" s="52" t="s">
        <v>28</v>
      </c>
      <c r="B26" s="50"/>
      <c r="C26" s="51"/>
    </row>
    <row r="27">
      <c r="A27" s="52" t="s">
        <v>30</v>
      </c>
      <c r="B27" s="50"/>
      <c r="C27" s="51"/>
    </row>
    <row r="28">
      <c r="A28" s="52" t="s">
        <v>32</v>
      </c>
      <c r="B28" s="50"/>
      <c r="C28" s="51"/>
    </row>
    <row r="29">
      <c r="B29" s="55"/>
    </row>
    <row r="30">
      <c r="B30" s="55"/>
    </row>
    <row r="31">
      <c r="B31" s="55"/>
    </row>
    <row r="32">
      <c r="B32" s="55"/>
    </row>
    <row r="33">
      <c r="B33" s="55"/>
    </row>
    <row r="34">
      <c r="B34" s="55"/>
    </row>
    <row r="35">
      <c r="B35" s="55"/>
    </row>
    <row r="36">
      <c r="B36" s="55"/>
    </row>
    <row r="37">
      <c r="B37" s="55"/>
    </row>
    <row r="38">
      <c r="B38" s="55"/>
    </row>
    <row r="39">
      <c r="B39" s="55"/>
    </row>
    <row r="40">
      <c r="B40" s="55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</sheetData>
  <mergeCells count="26">
    <mergeCell ref="A1:G1"/>
    <mergeCell ref="A2:G2"/>
    <mergeCell ref="A3:B4"/>
    <mergeCell ref="C3:E3"/>
    <mergeCell ref="F3:F4"/>
    <mergeCell ref="A8:E8"/>
    <mergeCell ref="E10:G10"/>
    <mergeCell ref="A10:D10"/>
    <mergeCell ref="A12:G12"/>
    <mergeCell ref="A13:G15"/>
    <mergeCell ref="A17:C17"/>
    <mergeCell ref="D17:G17"/>
    <mergeCell ref="A18:C18"/>
    <mergeCell ref="D18:G18"/>
    <mergeCell ref="A24:C24"/>
    <mergeCell ref="A25:C25"/>
    <mergeCell ref="A26:C26"/>
    <mergeCell ref="A27:C27"/>
    <mergeCell ref="A28:C28"/>
    <mergeCell ref="A19:C19"/>
    <mergeCell ref="D19:G19"/>
    <mergeCell ref="A20:C20"/>
    <mergeCell ref="D20:G20"/>
    <mergeCell ref="A21:C21"/>
    <mergeCell ref="D21:G21"/>
    <mergeCell ref="A22:G22"/>
  </mergeCells>
  <hyperlinks>
    <hyperlink r:id="rId1" ref="A2"/>
    <hyperlink r:id="rId2" ref="A5"/>
    <hyperlink r:id="rId3" ref="A6"/>
    <hyperlink r:id="rId4" ref="A7"/>
    <hyperlink r:id="rId5" ref="A13"/>
    <hyperlink r:id="rId6" ref="A22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2" max="2" width="40.13"/>
    <col customWidth="1" min="3" max="3" width="22.0"/>
    <col customWidth="1" min="4" max="4" width="20.0"/>
    <col customWidth="1" min="5" max="5" width="17.38"/>
    <col customWidth="1" min="6" max="6" width="15.13"/>
    <col customWidth="1" min="7" max="7" width="17.5"/>
  </cols>
  <sheetData>
    <row r="1">
      <c r="A1" s="1" t="s">
        <v>79</v>
      </c>
    </row>
    <row r="2">
      <c r="A2" s="57" t="s">
        <v>80</v>
      </c>
    </row>
    <row r="3">
      <c r="A3" s="3" t="s">
        <v>81</v>
      </c>
      <c r="B3" s="4"/>
      <c r="C3" s="5" t="s">
        <v>3</v>
      </c>
      <c r="D3" s="6"/>
      <c r="E3" s="6"/>
      <c r="F3" s="7" t="s">
        <v>4</v>
      </c>
      <c r="G3" s="88"/>
    </row>
    <row r="4">
      <c r="A4" s="10"/>
      <c r="B4" s="11"/>
      <c r="C4" s="12" t="s">
        <v>6</v>
      </c>
      <c r="D4" s="12" t="s">
        <v>61</v>
      </c>
      <c r="E4" s="12" t="s">
        <v>82</v>
      </c>
      <c r="F4" s="13"/>
      <c r="G4" s="88"/>
    </row>
    <row r="5">
      <c r="A5" s="73" t="s">
        <v>83</v>
      </c>
      <c r="B5" s="15" t="s">
        <v>84</v>
      </c>
      <c r="C5" s="16">
        <v>10.0</v>
      </c>
      <c r="D5" s="74">
        <v>5.0</v>
      </c>
      <c r="E5" s="75"/>
      <c r="F5" s="18">
        <f t="shared" ref="F5:F9" si="1">SUM(C5:E5)</f>
        <v>15</v>
      </c>
      <c r="G5" s="88"/>
    </row>
    <row r="6">
      <c r="A6" s="73" t="s">
        <v>85</v>
      </c>
      <c r="B6" s="15" t="s">
        <v>86</v>
      </c>
      <c r="C6" s="16">
        <v>15.0</v>
      </c>
      <c r="D6" s="74">
        <v>10.0</v>
      </c>
      <c r="E6" s="74"/>
      <c r="F6" s="18">
        <f t="shared" si="1"/>
        <v>25</v>
      </c>
      <c r="G6" s="88"/>
    </row>
    <row r="7">
      <c r="A7" s="73" t="s">
        <v>87</v>
      </c>
      <c r="B7" s="76" t="s">
        <v>88</v>
      </c>
      <c r="C7" s="77">
        <v>20.0</v>
      </c>
      <c r="D7" s="78">
        <v>10.0</v>
      </c>
      <c r="E7" s="78"/>
      <c r="F7" s="18">
        <f t="shared" si="1"/>
        <v>30</v>
      </c>
      <c r="G7" s="88"/>
    </row>
    <row r="8">
      <c r="A8" s="73" t="s">
        <v>89</v>
      </c>
      <c r="B8" s="76" t="s">
        <v>90</v>
      </c>
      <c r="C8" s="77">
        <v>20.0</v>
      </c>
      <c r="D8" s="78">
        <v>5.0</v>
      </c>
      <c r="E8" s="79"/>
      <c r="F8" s="18">
        <f t="shared" si="1"/>
        <v>25</v>
      </c>
      <c r="G8" s="88"/>
    </row>
    <row r="9">
      <c r="A9" s="89" t="s">
        <v>91</v>
      </c>
      <c r="B9" s="76" t="s">
        <v>92</v>
      </c>
      <c r="C9" s="77">
        <v>20.0</v>
      </c>
      <c r="D9" s="78">
        <v>10.0</v>
      </c>
      <c r="E9" s="78">
        <v>25.0</v>
      </c>
      <c r="F9" s="80">
        <f t="shared" si="1"/>
        <v>55</v>
      </c>
      <c r="G9" s="88"/>
    </row>
    <row r="10">
      <c r="A10" s="20" t="s">
        <v>4</v>
      </c>
      <c r="B10" s="21"/>
      <c r="C10" s="21"/>
      <c r="D10" s="21"/>
      <c r="E10" s="22"/>
      <c r="F10" s="20">
        <f>SUM(F5:F9)+G5</f>
        <v>150</v>
      </c>
      <c r="G10" s="88"/>
    </row>
    <row r="11">
      <c r="A11" s="31"/>
      <c r="B11" s="31"/>
      <c r="C11" s="31"/>
      <c r="D11" s="32"/>
      <c r="E11" s="29"/>
      <c r="F11" s="29"/>
      <c r="G11" s="90"/>
    </row>
    <row r="12">
      <c r="A12" s="26"/>
      <c r="B12" s="27"/>
      <c r="C12" s="27"/>
      <c r="D12" s="28"/>
      <c r="E12" s="29" t="s">
        <v>70</v>
      </c>
      <c r="F12" s="6"/>
      <c r="G12" s="30"/>
    </row>
    <row r="13">
      <c r="B13" s="45"/>
    </row>
    <row r="14">
      <c r="A14" s="83" t="s">
        <v>52</v>
      </c>
      <c r="B14" s="37"/>
      <c r="C14" s="37"/>
      <c r="D14" s="37"/>
      <c r="E14" s="37"/>
      <c r="F14" s="37"/>
      <c r="G14" s="38"/>
    </row>
    <row r="15">
      <c r="A15" s="84" t="s">
        <v>93</v>
      </c>
      <c r="G15" s="67"/>
    </row>
    <row r="16">
      <c r="G16" s="67"/>
    </row>
    <row r="17">
      <c r="A17" s="68"/>
      <c r="B17" s="68"/>
      <c r="C17" s="68"/>
      <c r="D17" s="68"/>
      <c r="E17" s="68"/>
      <c r="F17" s="68"/>
      <c r="G17" s="11"/>
    </row>
    <row r="18">
      <c r="B18" s="55"/>
    </row>
    <row r="19">
      <c r="A19" s="85" t="s">
        <v>54</v>
      </c>
      <c r="B19" s="47"/>
      <c r="C19" s="4"/>
      <c r="D19" s="86" t="s">
        <v>72</v>
      </c>
      <c r="E19" s="6"/>
      <c r="F19" s="6"/>
      <c r="G19" s="30"/>
    </row>
    <row r="20">
      <c r="A20" s="49" t="s">
        <v>94</v>
      </c>
      <c r="B20" s="50"/>
      <c r="C20" s="51"/>
      <c r="D20" s="87" t="s">
        <v>74</v>
      </c>
      <c r="E20" s="6"/>
      <c r="F20" s="6"/>
      <c r="G20" s="30"/>
    </row>
    <row r="21">
      <c r="A21" s="49" t="s">
        <v>27</v>
      </c>
      <c r="B21" s="50"/>
      <c r="C21" s="51"/>
      <c r="D21" s="87" t="s">
        <v>75</v>
      </c>
      <c r="E21" s="6"/>
      <c r="F21" s="6"/>
      <c r="G21" s="30"/>
    </row>
    <row r="22">
      <c r="A22" s="49" t="s">
        <v>95</v>
      </c>
      <c r="B22" s="50"/>
      <c r="C22" s="51"/>
      <c r="D22" s="87" t="s">
        <v>77</v>
      </c>
      <c r="E22" s="6"/>
      <c r="F22" s="6"/>
      <c r="G22" s="30"/>
    </row>
    <row r="23">
      <c r="A23" s="70" t="s">
        <v>96</v>
      </c>
      <c r="B23" s="71"/>
      <c r="C23" s="72"/>
      <c r="D23" s="87"/>
      <c r="E23" s="6"/>
      <c r="F23" s="6"/>
      <c r="G23" s="30"/>
    </row>
    <row r="24">
      <c r="A24" s="64" t="s">
        <v>51</v>
      </c>
      <c r="B24" s="6"/>
      <c r="C24" s="6"/>
      <c r="D24" s="6"/>
      <c r="E24" s="6"/>
      <c r="F24" s="6"/>
      <c r="G24" s="30"/>
    </row>
    <row r="25">
      <c r="B25" s="55"/>
    </row>
    <row r="26">
      <c r="A26" s="48" t="s">
        <v>24</v>
      </c>
      <c r="B26" s="47"/>
      <c r="C26" s="4"/>
    </row>
    <row r="27">
      <c r="A27" s="52" t="s">
        <v>26</v>
      </c>
      <c r="B27" s="50"/>
      <c r="C27" s="51"/>
    </row>
    <row r="28">
      <c r="A28" s="52" t="s">
        <v>28</v>
      </c>
      <c r="B28" s="50"/>
      <c r="C28" s="51"/>
    </row>
    <row r="29">
      <c r="A29" s="52" t="s">
        <v>30</v>
      </c>
      <c r="B29" s="50"/>
      <c r="C29" s="51"/>
    </row>
    <row r="30">
      <c r="A30" s="52" t="s">
        <v>32</v>
      </c>
      <c r="B30" s="50"/>
      <c r="C30" s="51"/>
    </row>
    <row r="31">
      <c r="B31" s="55"/>
    </row>
    <row r="32">
      <c r="B32" s="55"/>
    </row>
    <row r="33">
      <c r="B33" s="55"/>
    </row>
    <row r="34">
      <c r="B34" s="55"/>
    </row>
    <row r="35">
      <c r="B35" s="55"/>
    </row>
    <row r="36">
      <c r="B36" s="55"/>
    </row>
    <row r="37">
      <c r="B37" s="55"/>
    </row>
    <row r="38">
      <c r="B38" s="55"/>
    </row>
    <row r="39">
      <c r="B39" s="55"/>
    </row>
    <row r="40">
      <c r="B40" s="55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</sheetData>
  <mergeCells count="26">
    <mergeCell ref="A1:G1"/>
    <mergeCell ref="A2:G2"/>
    <mergeCell ref="A3:B4"/>
    <mergeCell ref="C3:E3"/>
    <mergeCell ref="F3:F4"/>
    <mergeCell ref="A10:E10"/>
    <mergeCell ref="E12:G12"/>
    <mergeCell ref="A12:D12"/>
    <mergeCell ref="A14:G14"/>
    <mergeCell ref="A15:G17"/>
    <mergeCell ref="A19:C19"/>
    <mergeCell ref="D19:G19"/>
    <mergeCell ref="A20:C20"/>
    <mergeCell ref="D20:G20"/>
    <mergeCell ref="A26:C26"/>
    <mergeCell ref="A27:C27"/>
    <mergeCell ref="A28:C28"/>
    <mergeCell ref="A29:C29"/>
    <mergeCell ref="A30:C30"/>
    <mergeCell ref="A21:C21"/>
    <mergeCell ref="D21:G21"/>
    <mergeCell ref="A22:C22"/>
    <mergeCell ref="D22:G22"/>
    <mergeCell ref="A23:C23"/>
    <mergeCell ref="D23:G23"/>
    <mergeCell ref="A24:G24"/>
  </mergeCells>
  <hyperlinks>
    <hyperlink r:id="rId1" ref="A2"/>
    <hyperlink r:id="rId2" ref="A5"/>
    <hyperlink r:id="rId3" ref="A6"/>
    <hyperlink r:id="rId4" ref="A7"/>
    <hyperlink r:id="rId5" ref="A8"/>
    <hyperlink r:id="rId6" ref="A9"/>
    <hyperlink r:id="rId7" ref="A15"/>
    <hyperlink r:id="rId8" ref="A24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38"/>
    <col customWidth="1" min="2" max="2" width="40.13"/>
    <col customWidth="1" min="3" max="3" width="18.13"/>
    <col customWidth="1" min="4" max="4" width="19.0"/>
    <col customWidth="1" min="5" max="5" width="15.63"/>
    <col customWidth="1" min="6" max="6" width="15.13"/>
    <col customWidth="1" min="7" max="7" width="17.5"/>
    <col customWidth="1" min="8" max="8" width="49.13"/>
  </cols>
  <sheetData>
    <row r="1">
      <c r="A1" s="1" t="s">
        <v>97</v>
      </c>
      <c r="H1" s="91" t="s">
        <v>98</v>
      </c>
    </row>
    <row r="2">
      <c r="A2" s="57" t="s">
        <v>99</v>
      </c>
      <c r="H2" s="11"/>
    </row>
    <row r="3">
      <c r="A3" s="3" t="s">
        <v>100</v>
      </c>
      <c r="B3" s="4"/>
      <c r="C3" s="5" t="s">
        <v>3</v>
      </c>
      <c r="D3" s="6"/>
      <c r="E3" s="6"/>
      <c r="F3" s="7" t="s">
        <v>4</v>
      </c>
      <c r="G3" s="8" t="s">
        <v>5</v>
      </c>
      <c r="H3" s="92" t="s">
        <v>101</v>
      </c>
    </row>
    <row r="4">
      <c r="A4" s="10"/>
      <c r="B4" s="11"/>
      <c r="C4" s="12" t="s">
        <v>6</v>
      </c>
      <c r="D4" s="12" t="s">
        <v>7</v>
      </c>
      <c r="E4" s="12" t="s">
        <v>82</v>
      </c>
      <c r="F4" s="13"/>
      <c r="G4" s="13"/>
      <c r="H4" s="93"/>
    </row>
    <row r="5">
      <c r="A5" s="73" t="s">
        <v>102</v>
      </c>
      <c r="B5" s="15" t="s">
        <v>103</v>
      </c>
      <c r="C5" s="77">
        <v>10.0</v>
      </c>
      <c r="D5" s="78"/>
      <c r="E5" s="79"/>
      <c r="F5" s="18">
        <f t="shared" ref="F5:F8" si="1">SUM(C5:E5)</f>
        <v>10</v>
      </c>
      <c r="G5" s="19">
        <v>40.0</v>
      </c>
      <c r="H5" s="93"/>
    </row>
    <row r="6">
      <c r="A6" s="73" t="s">
        <v>104</v>
      </c>
      <c r="B6" s="15" t="s">
        <v>105</v>
      </c>
      <c r="C6" s="16">
        <v>15.0</v>
      </c>
      <c r="D6" s="74">
        <v>5.0</v>
      </c>
      <c r="E6" s="75"/>
      <c r="F6" s="18">
        <f t="shared" si="1"/>
        <v>20</v>
      </c>
      <c r="G6" s="93"/>
      <c r="H6" s="93"/>
    </row>
    <row r="7">
      <c r="A7" s="73" t="s">
        <v>106</v>
      </c>
      <c r="B7" s="15" t="s">
        <v>107</v>
      </c>
      <c r="C7" s="16">
        <v>20.0</v>
      </c>
      <c r="D7" s="74">
        <v>20.0</v>
      </c>
      <c r="E7" s="74"/>
      <c r="F7" s="18">
        <f t="shared" si="1"/>
        <v>40</v>
      </c>
      <c r="G7" s="93"/>
      <c r="H7" s="93"/>
    </row>
    <row r="8">
      <c r="A8" s="73" t="s">
        <v>108</v>
      </c>
      <c r="B8" s="76" t="s">
        <v>109</v>
      </c>
      <c r="C8" s="77">
        <v>10.0</v>
      </c>
      <c r="D8" s="78">
        <v>10.0</v>
      </c>
      <c r="E8" s="78">
        <v>20.0</v>
      </c>
      <c r="F8" s="18">
        <f t="shared" si="1"/>
        <v>40</v>
      </c>
      <c r="G8" s="13"/>
      <c r="H8" s="93"/>
    </row>
    <row r="9">
      <c r="A9" s="20" t="s">
        <v>4</v>
      </c>
      <c r="B9" s="21"/>
      <c r="C9" s="21"/>
      <c r="D9" s="21"/>
      <c r="E9" s="22"/>
      <c r="F9" s="20">
        <f>SUM(F5:F8)+G5</f>
        <v>150</v>
      </c>
      <c r="G9" s="22"/>
      <c r="H9" s="13"/>
    </row>
    <row r="11">
      <c r="A11" s="26"/>
      <c r="B11" s="27"/>
      <c r="C11" s="27"/>
      <c r="D11" s="28"/>
      <c r="E11" s="29" t="s">
        <v>70</v>
      </c>
      <c r="F11" s="6"/>
      <c r="G11" s="30"/>
    </row>
    <row r="12">
      <c r="B12" s="45"/>
    </row>
    <row r="13">
      <c r="A13" s="83" t="s">
        <v>52</v>
      </c>
      <c r="B13" s="37"/>
      <c r="C13" s="37"/>
      <c r="D13" s="37"/>
      <c r="E13" s="37"/>
      <c r="F13" s="37"/>
      <c r="G13" s="38"/>
    </row>
    <row r="14">
      <c r="A14" s="84" t="s">
        <v>110</v>
      </c>
      <c r="G14" s="67"/>
    </row>
    <row r="15">
      <c r="G15" s="67"/>
    </row>
    <row r="16">
      <c r="A16" s="68"/>
      <c r="B16" s="68"/>
      <c r="C16" s="68"/>
      <c r="D16" s="68"/>
      <c r="E16" s="68"/>
      <c r="F16" s="68"/>
      <c r="G16" s="11"/>
    </row>
    <row r="17">
      <c r="B17" s="55"/>
    </row>
    <row r="18">
      <c r="A18" s="69" t="s">
        <v>54</v>
      </c>
      <c r="B18" s="6"/>
      <c r="C18" s="30"/>
      <c r="D18" s="86" t="s">
        <v>72</v>
      </c>
      <c r="E18" s="6"/>
      <c r="F18" s="6"/>
      <c r="G18" s="30"/>
    </row>
    <row r="19">
      <c r="A19" s="49" t="s">
        <v>111</v>
      </c>
      <c r="B19" s="50"/>
      <c r="C19" s="51"/>
      <c r="D19" s="94" t="s">
        <v>74</v>
      </c>
      <c r="E19" s="6"/>
      <c r="F19" s="6"/>
      <c r="G19" s="30"/>
    </row>
    <row r="20">
      <c r="A20" s="49" t="s">
        <v>27</v>
      </c>
      <c r="B20" s="50"/>
      <c r="C20" s="51"/>
      <c r="D20" s="94" t="s">
        <v>75</v>
      </c>
      <c r="E20" s="6"/>
      <c r="F20" s="6"/>
      <c r="G20" s="30"/>
    </row>
    <row r="21">
      <c r="A21" s="49" t="s">
        <v>112</v>
      </c>
      <c r="B21" s="50"/>
      <c r="C21" s="51"/>
      <c r="D21" s="94" t="s">
        <v>77</v>
      </c>
      <c r="E21" s="6"/>
      <c r="F21" s="6"/>
      <c r="G21" s="30"/>
    </row>
    <row r="22">
      <c r="A22" s="70" t="s">
        <v>113</v>
      </c>
      <c r="B22" s="71"/>
      <c r="C22" s="72"/>
      <c r="D22" s="94"/>
      <c r="E22" s="6"/>
      <c r="F22" s="6"/>
      <c r="G22" s="30"/>
    </row>
    <row r="23">
      <c r="A23" s="64" t="s">
        <v>51</v>
      </c>
      <c r="B23" s="6"/>
      <c r="C23" s="6"/>
      <c r="D23" s="6"/>
      <c r="E23" s="6"/>
      <c r="F23" s="6"/>
      <c r="G23" s="30"/>
    </row>
    <row r="24">
      <c r="B24" s="55"/>
    </row>
    <row r="25">
      <c r="A25" s="48" t="s">
        <v>24</v>
      </c>
      <c r="B25" s="47"/>
      <c r="C25" s="4"/>
    </row>
    <row r="26">
      <c r="A26" s="52" t="s">
        <v>26</v>
      </c>
      <c r="B26" s="50"/>
      <c r="C26" s="51"/>
    </row>
    <row r="27">
      <c r="A27" s="52" t="s">
        <v>28</v>
      </c>
      <c r="B27" s="50"/>
      <c r="C27" s="51"/>
    </row>
    <row r="28">
      <c r="A28" s="52" t="s">
        <v>30</v>
      </c>
      <c r="B28" s="50"/>
      <c r="C28" s="51"/>
    </row>
    <row r="29">
      <c r="A29" s="52" t="s">
        <v>32</v>
      </c>
      <c r="B29" s="50"/>
      <c r="C29" s="51"/>
    </row>
    <row r="30">
      <c r="B30" s="55"/>
    </row>
    <row r="31">
      <c r="B31" s="55"/>
    </row>
    <row r="32">
      <c r="B32" s="55"/>
    </row>
    <row r="33">
      <c r="B33" s="55"/>
    </row>
    <row r="34">
      <c r="B34" s="55"/>
    </row>
    <row r="35">
      <c r="B35" s="55"/>
    </row>
    <row r="36">
      <c r="B36" s="55"/>
    </row>
    <row r="37">
      <c r="B37" s="55"/>
    </row>
    <row r="38">
      <c r="B38" s="55"/>
    </row>
    <row r="39">
      <c r="B39" s="55"/>
    </row>
    <row r="40">
      <c r="B40" s="55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</sheetData>
  <mergeCells count="31">
    <mergeCell ref="G3:G4"/>
    <mergeCell ref="G5:G8"/>
    <mergeCell ref="A1:G1"/>
    <mergeCell ref="H1:H2"/>
    <mergeCell ref="A2:G2"/>
    <mergeCell ref="A3:B4"/>
    <mergeCell ref="C3:E3"/>
    <mergeCell ref="F3:F4"/>
    <mergeCell ref="H3:H9"/>
    <mergeCell ref="D19:G19"/>
    <mergeCell ref="D20:G20"/>
    <mergeCell ref="D21:G21"/>
    <mergeCell ref="D22:G22"/>
    <mergeCell ref="A23:G23"/>
    <mergeCell ref="A9:E9"/>
    <mergeCell ref="F9:G9"/>
    <mergeCell ref="A11:D11"/>
    <mergeCell ref="E11:G11"/>
    <mergeCell ref="A13:G13"/>
    <mergeCell ref="A14:G16"/>
    <mergeCell ref="D18:G18"/>
    <mergeCell ref="A27:C27"/>
    <mergeCell ref="A28:C28"/>
    <mergeCell ref="A29:C29"/>
    <mergeCell ref="A18:C18"/>
    <mergeCell ref="A19:C19"/>
    <mergeCell ref="A20:C20"/>
    <mergeCell ref="A21:C21"/>
    <mergeCell ref="A22:C22"/>
    <mergeCell ref="A25:C25"/>
    <mergeCell ref="A26:C26"/>
  </mergeCells>
  <hyperlinks>
    <hyperlink r:id="rId1" ref="A2"/>
    <hyperlink r:id="rId2" ref="A5"/>
    <hyperlink r:id="rId3" ref="A6"/>
    <hyperlink r:id="rId4" ref="A7"/>
    <hyperlink r:id="rId5" ref="A8"/>
    <hyperlink r:id="rId6" ref="A14"/>
    <hyperlink r:id="rId7" ref="A23"/>
  </hyperlinks>
  <drawing r:id="rId8"/>
</worksheet>
</file>